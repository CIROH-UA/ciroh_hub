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turnbu\Downloads\"/>
    </mc:Choice>
  </mc:AlternateContent>
  <xr:revisionPtr revIDLastSave="0" documentId="13_ncr:1_{28E19602-17AD-494A-B195-DBEA888AFC88}" xr6:coauthVersionLast="47" xr6:coauthVersionMax="47" xr10:uidLastSave="{00000000-0000-0000-0000-000000000000}"/>
  <bookViews>
    <workbookView xWindow="960" yWindow="-15240" windowWidth="21600" windowHeight="11235" tabRatio="843" activeTab="3" xr2:uid="{FC1140F2-D33D-4E5D-9D3A-97924083CB5B}"/>
  </bookViews>
  <sheets>
    <sheet name="Subset_step1_Area&gt;100" sheetId="2" r:id="rId1"/>
    <sheet name="Stats for Subset1" sheetId="5" r:id="rId2"/>
    <sheet name="Subset_step2_activity&gt;100" sheetId="4" r:id="rId3"/>
    <sheet name="Stats for Subset2" sheetId="6" r:id="rId4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6" l="1"/>
  <c r="I3" i="5"/>
  <c r="F7" i="6"/>
  <c r="F20" i="6"/>
  <c r="F8" i="6"/>
  <c r="F3" i="6"/>
  <c r="F16" i="6"/>
  <c r="F2" i="6"/>
  <c r="F4" i="6"/>
  <c r="F11" i="6"/>
  <c r="F19" i="6"/>
  <c r="F6" i="6"/>
  <c r="F21" i="6"/>
  <c r="F17" i="6"/>
  <c r="F18" i="6"/>
  <c r="F13" i="6"/>
  <c r="F14" i="6"/>
  <c r="F15" i="6"/>
  <c r="F5" i="6"/>
  <c r="F10" i="6"/>
  <c r="F12" i="6"/>
  <c r="F9" i="6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2" i="5"/>
</calcChain>
</file>

<file path=xl/sharedStrings.xml><?xml version="1.0" encoding="utf-8"?>
<sst xmlns="http://schemas.openxmlformats.org/spreadsheetml/2006/main" count="8398" uniqueCount="1599">
  <si>
    <t>ProviderNa</t>
  </si>
  <si>
    <t>Organizati</t>
  </si>
  <si>
    <t>Organiza_1</t>
  </si>
  <si>
    <t>Monitoring</t>
  </si>
  <si>
    <t>Monitori_1</t>
  </si>
  <si>
    <t>Monitori_2</t>
  </si>
  <si>
    <t>ResolvedMo</t>
  </si>
  <si>
    <t>HUCEightDi</t>
  </si>
  <si>
    <t>siteUrl</t>
  </si>
  <si>
    <t>activityCo</t>
  </si>
  <si>
    <t>resultCoun</t>
  </si>
  <si>
    <t>StateName</t>
  </si>
  <si>
    <t>CountyName</t>
  </si>
  <si>
    <t>lat</t>
  </si>
  <si>
    <t>lon</t>
  </si>
  <si>
    <t>Country</t>
  </si>
  <si>
    <t>Type</t>
  </si>
  <si>
    <t>NameEn</t>
  </si>
  <si>
    <t>AreaSqKm</t>
  </si>
  <si>
    <t>STORET</t>
  </si>
  <si>
    <t>21AWIC</t>
  </si>
  <si>
    <t>ALABAMA DEPT. OF ENVIRONMENTAL MANAGEMENT - WATER QUALITY DATA</t>
  </si>
  <si>
    <t>Reservoir</t>
  </si>
  <si>
    <t>Lake, Reservoir, Impoundment</t>
  </si>
  <si>
    <t>Alabama</t>
  </si>
  <si>
    <t>USA</t>
  </si>
  <si>
    <t>Lake / Lago / Lac</t>
  </si>
  <si>
    <t>21AWIC-21</t>
  </si>
  <si>
    <t>WEIC-3</t>
  </si>
  <si>
    <t>https://www.waterqualitydata.us/provider/STORET/21AWIC/21AWIC-21/</t>
  </si>
  <si>
    <t>Cherokee County</t>
  </si>
  <si>
    <t>Weiss Lake</t>
  </si>
  <si>
    <t>21AWIC-219</t>
  </si>
  <si>
    <t>MARE-4</t>
  </si>
  <si>
    <t>https://www.waterqualitydata.us/provider/STORET/21AWIC/21AWIC-219/</t>
  </si>
  <si>
    <t>Tallapoosa County</t>
  </si>
  <si>
    <t>Martin Lake</t>
  </si>
  <si>
    <t>21AWIC-221</t>
  </si>
  <si>
    <t>MARE-1</t>
  </si>
  <si>
    <t>https://www.waterqualitydata.us/provider/STORET/21AWIC/21AWIC-221/</t>
  </si>
  <si>
    <t>21AWIC-24</t>
  </si>
  <si>
    <t>WEIC-4</t>
  </si>
  <si>
    <t>https://www.waterqualitydata.us/provider/STORET/21AWIC/21AWIC-24/</t>
  </si>
  <si>
    <t>21AWIC-30</t>
  </si>
  <si>
    <t>WEIC-2</t>
  </si>
  <si>
    <t>https://www.waterqualitydata.us/provider/STORET/21AWIC/21AWIC-30/</t>
  </si>
  <si>
    <t>21AWIC-35</t>
  </si>
  <si>
    <t>WEIC-1</t>
  </si>
  <si>
    <t>https://www.waterqualitydata.us/provider/STORET/21AWIC/21AWIC-35/</t>
  </si>
  <si>
    <t>21AWIC-3532</t>
  </si>
  <si>
    <t>TENR-310</t>
  </si>
  <si>
    <t>https://www.waterqualitydata.us/provider/STORET/21AWIC/21AWIC-3532/</t>
  </si>
  <si>
    <t>Limestone County</t>
  </si>
  <si>
    <t>Wheeler Lake</t>
  </si>
  <si>
    <t>Elmore County</t>
  </si>
  <si>
    <t>21AWIC-75</t>
  </si>
  <si>
    <t>MARE-2</t>
  </si>
  <si>
    <t>https://www.waterqualitydata.us/provider/STORET/21AWIC/21AWIC-75/</t>
  </si>
  <si>
    <t>21AWIC-76</t>
  </si>
  <si>
    <t>MARE-3</t>
  </si>
  <si>
    <t>https://www.waterqualitydata.us/provider/STORET/21AWIC/21AWIC-76/</t>
  </si>
  <si>
    <t>Lake</t>
  </si>
  <si>
    <t>NWIS</t>
  </si>
  <si>
    <t>USGS-AR</t>
  </si>
  <si>
    <t>USGS Arkansas Water Science Center</t>
  </si>
  <si>
    <t>Arkansas</t>
  </si>
  <si>
    <t>USGS-07075025</t>
  </si>
  <si>
    <t>GREERS FERRY LK @ BRUSH CK</t>
  </si>
  <si>
    <t>https://www.waterqualitydata.us/provider/NWIS/USGS-AR/USGS-07075025/</t>
  </si>
  <si>
    <t>Cleburne County</t>
  </si>
  <si>
    <t>Greers Ferry Lake</t>
  </si>
  <si>
    <t>USGS-07075627</t>
  </si>
  <si>
    <t>Greers Ferry Lake nr Greers Ferry, AR</t>
  </si>
  <si>
    <t>https://www.waterqualitydata.us/provider/NWIS/USGS-AR/USGS-07075627/</t>
  </si>
  <si>
    <t>Pulaski County</t>
  </si>
  <si>
    <t>ARDEQH2O_WQX</t>
  </si>
  <si>
    <t>Arkansas Department of Environmental Quality</t>
  </si>
  <si>
    <t>ARDEQH2O_WQX-LWHI012A</t>
  </si>
  <si>
    <t>Bull Shoals Lake near Dam</t>
  </si>
  <si>
    <t>https://www.waterqualitydata.us/provider/STORET/ARDEQH2O_WQX/ARDEQH2O_WQX-LWHI012A/</t>
  </si>
  <si>
    <t>Baxter County</t>
  </si>
  <si>
    <t>Bull Shoals Lake</t>
  </si>
  <si>
    <t>USGS-CA</t>
  </si>
  <si>
    <t>USGS California Water Science Center</t>
  </si>
  <si>
    <t>USGS-390046122415601</t>
  </si>
  <si>
    <t>CLEAR LK A MOORING OA-04 NR CLEARLAKE OAKS CA</t>
  </si>
  <si>
    <t>https://www.waterqualitydata.us/provider/NWIS/USGS-CA/USGS-390046122415601/</t>
  </si>
  <si>
    <t>California</t>
  </si>
  <si>
    <t>Lake County</t>
  </si>
  <si>
    <t>Clear Lake</t>
  </si>
  <si>
    <t>CA_BVR</t>
  </si>
  <si>
    <t>Big Valley Band of Pomo Indians of the Big Valley Rancheria, California (Tribal)</t>
  </si>
  <si>
    <t>CA_BVR-BVCL17</t>
  </si>
  <si>
    <t>Deep Lake Station 2-300 Ft. West of BVCL5</t>
  </si>
  <si>
    <t>https://www.waterqualitydata.us/provider/STORET/CA_BVR/CA_BVR-BVCL17/</t>
  </si>
  <si>
    <t>CA_BVR-BVCL5</t>
  </si>
  <si>
    <t>Deep Lake Station 1-100 yds. off point</t>
  </si>
  <si>
    <t>https://www.waterqualitydata.us/provider/STORET/CA_BVR/CA_BVR-BVCL5/</t>
  </si>
  <si>
    <t>CA_BVR-BVCL6</t>
  </si>
  <si>
    <t>Tule Boat Launch (The Point)</t>
  </si>
  <si>
    <t>https://www.waterqualitydata.us/provider/STORET/CA_BVR/CA_BVR-BVCL6/</t>
  </si>
  <si>
    <t>CA_BVR-CL-1</t>
  </si>
  <si>
    <t>State DWR-Upper Arm of Clear Lake, Center</t>
  </si>
  <si>
    <t>https://www.waterqualitydata.us/provider/STORET/CA_BVR/CA_BVR-CL-1/</t>
  </si>
  <si>
    <t>CA_BVR-CL-3</t>
  </si>
  <si>
    <t>State DWR-Lower Arm of Clear Lake, Center</t>
  </si>
  <si>
    <t>https://www.waterqualitydata.us/provider/STORET/CA_BVR/CA_BVR-CL-3/</t>
  </si>
  <si>
    <t>CA_BVR-CL-4</t>
  </si>
  <si>
    <t>State DWR-Oaks Arm of Clear Lake, Center</t>
  </si>
  <si>
    <t>https://www.waterqualitydata.us/provider/STORET/CA_BVR/CA_BVR-CL-4/</t>
  </si>
  <si>
    <t>CA_BVR-CP</t>
  </si>
  <si>
    <t>County Park at beach</t>
  </si>
  <si>
    <t>https://www.waterqualitydata.us/provider/STORET/CA_BVR/CA_BVR-CP/</t>
  </si>
  <si>
    <t>CA_BVR-ELEM01</t>
  </si>
  <si>
    <t>At end of El-Em St. on Elem Indian Colony</t>
  </si>
  <si>
    <t>https://www.waterqualitydata.us/provider/STORET/CA_BVR/CA_BVR-ELEM01/</t>
  </si>
  <si>
    <t>CA_BVR-HB</t>
  </si>
  <si>
    <t>Horseshoe Bend</t>
  </si>
  <si>
    <t>https://www.waterqualitydata.us/provider/STORET/CA_BVR/CA_BVR-HB/</t>
  </si>
  <si>
    <t>CA_BVR-JB</t>
  </si>
  <si>
    <t>Jago Bay   (Jones Bay)</t>
  </si>
  <si>
    <t>https://www.waterqualitydata.us/provider/STORET/CA_BVR/CA_BVR-JB/</t>
  </si>
  <si>
    <t>CA_BVR-RP</t>
  </si>
  <si>
    <t>Richmond Park on the beach</t>
  </si>
  <si>
    <t>https://www.waterqualitydata.us/provider/STORET/CA_BVR/CA_BVR-RP/</t>
  </si>
  <si>
    <t>CEDEN</t>
  </si>
  <si>
    <t>California State Water Resources Control Board</t>
  </si>
  <si>
    <t>Florida</t>
  </si>
  <si>
    <t>21FLGFWF</t>
  </si>
  <si>
    <t>Florida Fish and Wildlife Conservation Commission</t>
  </si>
  <si>
    <t>Osceola County</t>
  </si>
  <si>
    <t>21FLGFWF-03090101-LK-22</t>
  </si>
  <si>
    <t>Lake Kissimmee Station 22</t>
  </si>
  <si>
    <t>https://www.waterqualitydata.us/provider/STORET/21FLGFWF/21FLGFWF-03090101-LK-22/</t>
  </si>
  <si>
    <t>Lake Kissimmee</t>
  </si>
  <si>
    <t>21FLGFWF-03090101-LK-29</t>
  </si>
  <si>
    <t>Lake Kissimmee Station 29</t>
  </si>
  <si>
    <t>https://www.waterqualitydata.us/provider/STORET/21FLGFWF/21FLGFWF-03090101-LK-29/</t>
  </si>
  <si>
    <t>21FLGFWF-03090101-LK-30</t>
  </si>
  <si>
    <t>Lake Kissimmee Station 30</t>
  </si>
  <si>
    <t>https://www.waterqualitydata.us/provider/STORET/21FLGFWF/21FLGFWF-03090101-LK-30/</t>
  </si>
  <si>
    <t>21FLKWAT</t>
  </si>
  <si>
    <t>Florida LAKEWATCH</t>
  </si>
  <si>
    <t>Bay County</t>
  </si>
  <si>
    <t>Clay County</t>
  </si>
  <si>
    <t>Highlands County</t>
  </si>
  <si>
    <t>21FLKWAT-HIG-ISTOKPOGA-1</t>
  </si>
  <si>
    <t>Highlands-Istokpoga-1</t>
  </si>
  <si>
    <t>https://www.waterqualitydata.us/provider/STORET/21FLKWAT/21FLKWAT-HIG-ISTOKPOGA-1/</t>
  </si>
  <si>
    <t>Lake Istokpoga</t>
  </si>
  <si>
    <t>21FLKWAT-HIG-ISTOKPOGA-2</t>
  </si>
  <si>
    <t>Highlands-Istokpoga-2</t>
  </si>
  <si>
    <t>https://www.waterqualitydata.us/provider/STORET/21FLKWAT/21FLKWAT-HIG-ISTOKPOGA-2/</t>
  </si>
  <si>
    <t>21FLKWAT-HIG-ISTOKPOGA-3</t>
  </si>
  <si>
    <t>Highlands-Istokpoga-3</t>
  </si>
  <si>
    <t>https://www.waterqualitydata.us/provider/STORET/21FLKWAT/21FLKWAT-HIG-ISTOKPOGA-3/</t>
  </si>
  <si>
    <t>21FLKWAT-HIG-ISTOKPOGN-1</t>
  </si>
  <si>
    <t>Highlands-Istokpoga North-1</t>
  </si>
  <si>
    <t>https://www.waterqualitydata.us/provider/STORET/21FLKWAT/21FLKWAT-HIG-ISTOKPOGN-1/</t>
  </si>
  <si>
    <t>21FLKWAT-HIG-ISTOKPOGN-2</t>
  </si>
  <si>
    <t>Highlands-Istokpoga North-2</t>
  </si>
  <si>
    <t>https://www.waterqualitydata.us/provider/STORET/21FLKWAT/21FLKWAT-HIG-ISTOKPOGN-2/</t>
  </si>
  <si>
    <t>21FLKWAT-HIG-ISTOKPOGN-3</t>
  </si>
  <si>
    <t>Highlands-Istokpoga North-3</t>
  </si>
  <si>
    <t>https://www.waterqualitydata.us/provider/STORET/21FLKWAT/21FLKWAT-HIG-ISTOKPOGN-3/</t>
  </si>
  <si>
    <t>Marion County</t>
  </si>
  <si>
    <t>Orange County</t>
  </si>
  <si>
    <t>Polk County</t>
  </si>
  <si>
    <t>Putnam County</t>
  </si>
  <si>
    <t>21FLKWAT-PUT-GEORGESO-1</t>
  </si>
  <si>
    <t>Putnam-George South-1</t>
  </si>
  <si>
    <t>https://www.waterqualitydata.us/provider/STORET/21FLKWAT/21FLKWAT-PUT-GEORGESO-1/</t>
  </si>
  <si>
    <t>Volusia County</t>
  </si>
  <si>
    <t>Lake George</t>
  </si>
  <si>
    <t>21FLKWAT-PUT-GEORGESO-2</t>
  </si>
  <si>
    <t>Putnam-George South-2</t>
  </si>
  <si>
    <t>https://www.waterqualitydata.us/provider/STORET/21FLKWAT/21FLKWAT-PUT-GEORGESO-2/</t>
  </si>
  <si>
    <t>21FLKWAT-PUT-GEORGESO-3</t>
  </si>
  <si>
    <t>Putnam-George South-3</t>
  </si>
  <si>
    <t>https://www.waterqualitydata.us/provider/STORET/21FLKWAT/21FLKWAT-PUT-GEORGESO-3/</t>
  </si>
  <si>
    <t>Lake Marion</t>
  </si>
  <si>
    <t>21FLSFWM</t>
  </si>
  <si>
    <t>South Florida Water Management District</t>
  </si>
  <si>
    <t>21FLSFWM-E02</t>
  </si>
  <si>
    <t>LAKE KISSIMEE WATER QUALITY STATION</t>
  </si>
  <si>
    <t>https://www.waterqualitydata.us/provider/STORET/21FLSFWM/21FLSFWM-E02/</t>
  </si>
  <si>
    <t>21FLSFWM-E04</t>
  </si>
  <si>
    <t>https://www.waterqualitydata.us/provider/STORET/21FLSFWM/21FLSFWM-E04/</t>
  </si>
  <si>
    <t>21FLSFWM-FEBIN</t>
  </si>
  <si>
    <t>FISHEATING BAY, IN STATION OPEN WATER</t>
  </si>
  <si>
    <t>https://www.waterqualitydata.us/provider/STORET/21FLSFWM/21FLSFWM-FEBIN/</t>
  </si>
  <si>
    <t>Glades County</t>
  </si>
  <si>
    <t>Lake Okeechobee</t>
  </si>
  <si>
    <t>21FLSFWM-FEBOUT</t>
  </si>
  <si>
    <t>FISHEATING BAY, OUT STATION OPEN WATER</t>
  </si>
  <si>
    <t>https://www.waterqualitydata.us/provider/STORET/21FLSFWM/21FLSFWM-FEBOUT/</t>
  </si>
  <si>
    <t>21FLSFWM-ISTK1</t>
  </si>
  <si>
    <t>IN LAKE ISTOKPOGA DUE EAST OF          ENTRANCE TO ARBUCKLE</t>
  </si>
  <si>
    <t>https://www.waterqualitydata.us/provider/STORET/21FLSFWM/21FLSFWM-ISTK1/</t>
  </si>
  <si>
    <t>21FLSFWM-ISTK6</t>
  </si>
  <si>
    <t>IN LAKE ISTOKPOGA HALF WAY BETWEEN     ISTO. CANAL AND BIG I</t>
  </si>
  <si>
    <t>https://www.waterqualitydata.us/provider/STORET/21FLSFWM/21FLSFWM-ISTK6/</t>
  </si>
  <si>
    <t>21FLSFWM-ISTK7</t>
  </si>
  <si>
    <t>IN MIDDLE OF LAKE ISTOKPOGA BETWEEN    BIG ISLAND AND LITTLE</t>
  </si>
  <si>
    <t>https://www.waterqualitydata.us/provider/STORET/21FLSFWM/21FLSFWM-ISTK7/</t>
  </si>
  <si>
    <t>21FLSFWM-KBAROUT</t>
  </si>
  <si>
    <t>NORTH END OF KINGS BAR IN LAKE OKEE.   AND 100 YARDS OUT FRO</t>
  </si>
  <si>
    <t>https://www.waterqualitydata.us/provider/STORET/21FLSFWM/21FLSFWM-KBAROUT/</t>
  </si>
  <si>
    <t>Okeechobee County</t>
  </si>
  <si>
    <t>21FLSFWM-KISSR0.0</t>
  </si>
  <si>
    <t>MOUTH KISSIMMEE RIVER NEAR NORTH SIDE OF LAKE OKEECHOBEE</t>
  </si>
  <si>
    <t>https://www.waterqualitydata.us/provider/STORET/21FLSFWM/21FLSFWM-KISSR0.0/</t>
  </si>
  <si>
    <t>21FLSFWM-L001</t>
  </si>
  <si>
    <t>LAKE OKEECHOBEE TOWER NORTH</t>
  </si>
  <si>
    <t>https://www.waterqualitydata.us/provider/STORET/21FLSFWM/21FLSFWM-L001/</t>
  </si>
  <si>
    <t>21FLSFWM-L002</t>
  </si>
  <si>
    <t>LAKE OKEECHOBEE TOWER NORTH (#2)</t>
  </si>
  <si>
    <t>https://www.waterqualitydata.us/provider/STORET/21FLSFWM/21FLSFWM-L002/</t>
  </si>
  <si>
    <t>21FLSFWM-L003</t>
  </si>
  <si>
    <t>SAME AS Y PROJECT Y, L003 PRE 1990     SAMPLE PRESERVATION M</t>
  </si>
  <si>
    <t>https://www.waterqualitydata.us/provider/STORET/21FLSFWM/21FLSFWM-L003/</t>
  </si>
  <si>
    <t>Martin County</t>
  </si>
  <si>
    <t>21FLSFWM-L004</t>
  </si>
  <si>
    <t>L.OKEE-CNTRL, 6.0 STATUTE MILES DUE WESTOF BOUY C#5 ADJACEN</t>
  </si>
  <si>
    <t>https://www.waterqualitydata.us/provider/STORET/21FLSFWM/21FLSFWM-L004/</t>
  </si>
  <si>
    <t>21FLSFWM-L005</t>
  </si>
  <si>
    <t>LAKE OKEECHOBEE TOWER WEST (#5)</t>
  </si>
  <si>
    <t>https://www.waterqualitydata.us/provider/STORET/21FLSFWM/21FLSFWM-L005/</t>
  </si>
  <si>
    <t>21FLSFWM-L006</t>
  </si>
  <si>
    <t>LAKE OKEECHOBEE TOWER SOUTH (#6)</t>
  </si>
  <si>
    <t>https://www.waterqualitydata.us/provider/STORET/21FLSFWM/21FLSFWM-L006/</t>
  </si>
  <si>
    <t>Palm Beach County</t>
  </si>
  <si>
    <t>21FLSFWM-L007</t>
  </si>
  <si>
    <t>L.OKEE-SOUTH, 1.5 STATUTE MILES DUE SOUTH FROM CLEWISTON BOU</t>
  </si>
  <si>
    <t>https://www.waterqualitydata.us/provider/STORET/21FLSFWM/21FLSFWM-L007/</t>
  </si>
  <si>
    <t>21FLSFWM-L008</t>
  </si>
  <si>
    <t>L.OKEE-CNTRL, 4.6 STATUTE MILES DUE EASTFROM (RED) MARKER A</t>
  </si>
  <si>
    <t>https://www.waterqualitydata.us/provider/STORET/21FLSFWM/21FLSFWM-L008/</t>
  </si>
  <si>
    <t>21FLSFWM-LZ2</t>
  </si>
  <si>
    <t>W LAKE OKEECHOBEE WATER QUALITY STATION</t>
  </si>
  <si>
    <t>https://www.waterqualitydata.us/provider/STORET/21FLSFWM/21FLSFWM-LZ2/</t>
  </si>
  <si>
    <t>21FLSFWM-LZ25</t>
  </si>
  <si>
    <t>https://www.waterqualitydata.us/provider/STORET/21FLSFWM/21FLSFWM-LZ25/</t>
  </si>
  <si>
    <t>21FLSFWM-LZ30</t>
  </si>
  <si>
    <t>https://www.waterqualitydata.us/provider/STORET/21FLSFWM/21FLSFWM-LZ30/</t>
  </si>
  <si>
    <t>21FLSFWM-LZ40</t>
  </si>
  <si>
    <t>LZ40 WEATHER STATION ON LAKE OKEECHOBEE</t>
  </si>
  <si>
    <t>https://www.waterqualitydata.us/provider/STORET/21FLSFWM/21FLSFWM-LZ40/</t>
  </si>
  <si>
    <t>21FLSFWM-LZ42</t>
  </si>
  <si>
    <t>SOUTHWEST LAKE OKEECHOBEE 2.5 MILES FROM LITTORAL ZONE</t>
  </si>
  <si>
    <t>https://www.waterqualitydata.us/provider/STORET/21FLSFWM/21FLSFWM-LZ42/</t>
  </si>
  <si>
    <t>21FLSFWM-LZ42N</t>
  </si>
  <si>
    <t>0.5 MILES OUT FROM LITTORAL ZONE ON N. W. SIDE OF LAKE OKEEC</t>
  </si>
  <si>
    <t>https://www.waterqualitydata.us/provider/STORET/21FLSFWM/21FLSFWM-LZ42N/</t>
  </si>
  <si>
    <t>21FLSFWM-MH24000</t>
  </si>
  <si>
    <t>MH TRANSECT 24000 FEET,  PVC PIPE</t>
  </si>
  <si>
    <t>https://www.waterqualitydata.us/provider/STORET/21FLSFWM/21FLSFWM-MH24000/</t>
  </si>
  <si>
    <t>21FLSFWM-MH32000</t>
  </si>
  <si>
    <t>MOOREHAVEN TRANSECT 32000 FEET, PVC PIPE</t>
  </si>
  <si>
    <t>https://www.waterqualitydata.us/provider/STORET/21FLSFWM/21FLSFWM-MH32000/</t>
  </si>
  <si>
    <t>21FLSFWM-PALMOUT</t>
  </si>
  <si>
    <t>100 YDS EAST OF PALMMID IN LAKE ON WESTSIDE OF LAKE</t>
  </si>
  <si>
    <t>https://www.waterqualitydata.us/provider/STORET/21FLSFWM/21FLSFWM-PALMOUT/</t>
  </si>
  <si>
    <t>21FLSFWM-PELMID</t>
  </si>
  <si>
    <t>MIDDLE OF PELICAN BAY MOUTH</t>
  </si>
  <si>
    <t>https://www.waterqualitydata.us/provider/STORET/21FLSFWM/21FLSFWM-PELMID/</t>
  </si>
  <si>
    <t>21FLSFWM-PLN2OUT</t>
  </si>
  <si>
    <t>NO DESCRIPTION AVAILABLE FOR THIS STATION</t>
  </si>
  <si>
    <t>https://www.waterqualitydata.us/provider/STORET/21FLSFWM/21FLSFWM-PLN2OUT/</t>
  </si>
  <si>
    <t>21FLSFWM-POLE3S</t>
  </si>
  <si>
    <t>3  POLE STRUCTURE IN SOUTH LAKE OKEE.  WEST OF RITA ISLAND</t>
  </si>
  <si>
    <t>https://www.waterqualitydata.us/provider/STORET/21FLSFWM/21FLSFWM-POLE3S/</t>
  </si>
  <si>
    <t>21FLSFWM-POLESOUT</t>
  </si>
  <si>
    <t>https://www.waterqualitydata.us/provider/STORET/21FLSFWM/21FLSFWM-POLESOUT/</t>
  </si>
  <si>
    <t>21FLSFWM-RITAEAST</t>
  </si>
  <si>
    <t>EAST SIDE OF RITTA ISLAND NEAR OUTER   BOAT CHANNEL MARKER</t>
  </si>
  <si>
    <t>https://www.waterqualitydata.us/provider/STORET/21FLSFWM/21FLSFWM-RITAEAST/</t>
  </si>
  <si>
    <t>21FLSFWM-RITAWEST</t>
  </si>
  <si>
    <t>WEST SIDE OF RITTA ISLAND OPEN WATER</t>
  </si>
  <si>
    <t>https://www.waterqualitydata.us/provider/STORET/21FLSFWM/21FLSFWM-RITAWEST/</t>
  </si>
  <si>
    <t>21FLSFWM-STAKEOUT</t>
  </si>
  <si>
    <t>.25 MILES SW OF INDIAN PRARIE CANAL AND100 YARDS OUT FROM BU</t>
  </si>
  <si>
    <t>https://www.waterqualitydata.us/provider/STORET/21FLSFWM/21FLSFWM-STAKEOUT/</t>
  </si>
  <si>
    <t>21FLSFWM-TIN16100</t>
  </si>
  <si>
    <t>TINHOUSE COVE, OUT STATION GAUGE PLATFORM</t>
  </si>
  <si>
    <t>https://www.waterqualitydata.us/provider/STORET/21FLSFWM/21FLSFWM-TIN16100/</t>
  </si>
  <si>
    <t>21FLSFWM-TREEOUT</t>
  </si>
  <si>
    <t>100 YDS NE OF TREEMID IN LAKE ON WEST  SIDE OF LAKE</t>
  </si>
  <si>
    <t>https://www.waterqualitydata.us/provider/STORET/21FLSFWM/21FLSFWM-TREEOUT/</t>
  </si>
  <si>
    <t>21FLSJWM</t>
  </si>
  <si>
    <t>St.  Johns Water Management District (Florida)</t>
  </si>
  <si>
    <t>21FLSJWM-CLA</t>
  </si>
  <si>
    <t>LAKE APOPKA CENTER STATION</t>
  </si>
  <si>
    <t>https://www.waterqualitydata.us/provider/STORET/21FLSJWM/21FLSJWM-CLA/</t>
  </si>
  <si>
    <t>Lake Apopka</t>
  </si>
  <si>
    <t>21FLSJWM-LAG</t>
  </si>
  <si>
    <t>LAKE GEORGE AT M 9</t>
  </si>
  <si>
    <t>https://www.waterqualitydata.us/provider/STORET/21FLSJWM/21FLSJWM-LAG/</t>
  </si>
  <si>
    <t>21FLSJWM-LEO</t>
  </si>
  <si>
    <t>LAKE GEORGE AT M 4 &amp; 5</t>
  </si>
  <si>
    <t>https://www.waterqualitydata.us/provider/STORET/21FLSJWM/21FLSJWM-LEO/</t>
  </si>
  <si>
    <t>21FLSJWM-LGCE</t>
  </si>
  <si>
    <t>Lake George Center East</t>
  </si>
  <si>
    <t>https://www.waterqualitydata.us/provider/STORET/21FLSJWM/21FLSJWM-LGCE/</t>
  </si>
  <si>
    <t>21FLSJWM-LGCW</t>
  </si>
  <si>
    <t>Lake George Center West</t>
  </si>
  <si>
    <t>https://www.waterqualitydata.us/provider/STORET/21FLSJWM/21FLSJWM-LGCW/</t>
  </si>
  <si>
    <t>21FLSJWM-MSJLGN</t>
  </si>
  <si>
    <t>`Middle SJR-- Lake George-North, mid-channel`</t>
  </si>
  <si>
    <t>https://www.waterqualitydata.us/provider/STORET/21FLSJWM/21FLSJWM-MSJLGN/</t>
  </si>
  <si>
    <t>21FLSJWM-NLA</t>
  </si>
  <si>
    <t>LAKE APOPKA NORTH</t>
  </si>
  <si>
    <t>https://www.waterqualitydata.us/provider/STORET/21FLSJWM/21FLSJWM-NLA/</t>
  </si>
  <si>
    <t>21FLSJWM-SAVLKGRO</t>
  </si>
  <si>
    <t>Lake George outside grass bed</t>
  </si>
  <si>
    <t>https://www.waterqualitydata.us/provider/STORET/21FLSJWM/21FLSJWM-SAVLKGRO/</t>
  </si>
  <si>
    <t>21FLSJWM-SLA</t>
  </si>
  <si>
    <t>Lk Apopka east of Apopka Spg mouth of Gourd</t>
  </si>
  <si>
    <t>https://www.waterqualitydata.us/provider/STORET/21FLSJWM/21FLSJWM-SLA/</t>
  </si>
  <si>
    <t>21AWIC-111</t>
  </si>
  <si>
    <t>GEOH-1</t>
  </si>
  <si>
    <t>https://www.waterqualitydata.us/provider/STORET/21AWIC/21AWIC-111/</t>
  </si>
  <si>
    <t>Georgia</t>
  </si>
  <si>
    <t>Walter F George Reservoir</t>
  </si>
  <si>
    <t>21AWIC-184</t>
  </si>
  <si>
    <t>GEOH-6</t>
  </si>
  <si>
    <t>https://www.waterqualitydata.us/provider/STORET/21AWIC/21AWIC-184/</t>
  </si>
  <si>
    <t>Stewart County</t>
  </si>
  <si>
    <t>21AWIC-4</t>
  </si>
  <si>
    <t>GEOH-4</t>
  </si>
  <si>
    <t>https://www.waterqualitydata.us/provider/STORET/21AWIC/21AWIC-4/</t>
  </si>
  <si>
    <t>Quitman County</t>
  </si>
  <si>
    <t>Idaho</t>
  </si>
  <si>
    <t>Valley County</t>
  </si>
  <si>
    <t>1119USBR_WQX</t>
  </si>
  <si>
    <t>Bureau of Reclamation</t>
  </si>
  <si>
    <t>1119USBR_WQX-AFE010</t>
  </si>
  <si>
    <t>American Falls Res near boat ramp</t>
  </si>
  <si>
    <t>https://www.waterqualitydata.us/provider/STORET/1119USBR_WQX/1119USBR_WQX-AFE010/</t>
  </si>
  <si>
    <t>Power County</t>
  </si>
  <si>
    <t>American Falls Reservoir</t>
  </si>
  <si>
    <t>1119USBR_WQX-AFE035</t>
  </si>
  <si>
    <t>American Falls R-SR Cattle Tower</t>
  </si>
  <si>
    <t>https://www.waterqualitydata.us/provider/STORET/1119USBR_WQX/1119USBR_WQX-AFE035/</t>
  </si>
  <si>
    <t>1119USBR_WQX-AFE050</t>
  </si>
  <si>
    <t>American Falls R-Sportsmans Cove</t>
  </si>
  <si>
    <t>https://www.waterqualitydata.us/provider/STORET/1119USBR_WQX/1119USBR_WQX-AFE050/</t>
  </si>
  <si>
    <t>1119USBR_WQX-GAR052</t>
  </si>
  <si>
    <t>CASCADE R W OF SUGARLOAF ISLAND</t>
  </si>
  <si>
    <t>https://www.waterqualitydata.us/provider/STORET/1119USBR_WQX/1119USBR_WQX-GAR052/</t>
  </si>
  <si>
    <t>Cascade Reservoir</t>
  </si>
  <si>
    <t>1119USBR_WQX-GAR055</t>
  </si>
  <si>
    <t>CASCADE RES D/S FROM RR TRESTLE</t>
  </si>
  <si>
    <t>https://www.waterqualitydata.us/provider/STORET/1119USBR_WQX/1119USBR_WQX-GAR055/</t>
  </si>
  <si>
    <t>IDEQ_WQX</t>
  </si>
  <si>
    <t>Idaho Department Of Environmental Quality DEQ</t>
  </si>
  <si>
    <t>IDEQ_WQX-CRD</t>
  </si>
  <si>
    <t>Cascade Reservoir at Dam</t>
  </si>
  <si>
    <t>https://www.waterqualitydata.us/provider/STORET/IDEQ_WQX/IDEQ_WQX-CRD/</t>
  </si>
  <si>
    <t>IDEQ_WQX-CRS</t>
  </si>
  <si>
    <t>Cascade Reservoir a Sugar Loaf Island</t>
  </si>
  <si>
    <t>https://www.waterqualitydata.us/provider/STORET/IDEQ_WQX/IDEQ_WQX-CRS/</t>
  </si>
  <si>
    <t>Monroe County</t>
  </si>
  <si>
    <t>Calhoun County</t>
  </si>
  <si>
    <t>Davis County</t>
  </si>
  <si>
    <t>Jasper County</t>
  </si>
  <si>
    <t>USACOEND</t>
  </si>
  <si>
    <t>US Army Corps of Engineers, Nashville District</t>
  </si>
  <si>
    <t>Kentucky</t>
  </si>
  <si>
    <t>USACOEND-3WOL20004</t>
  </si>
  <si>
    <t>3WOL20004</t>
  </si>
  <si>
    <t>https://www.waterqualitydata.us/provider/STORET/USACOEND/USACOEND-3WOL20004/</t>
  </si>
  <si>
    <t>Wayne County</t>
  </si>
  <si>
    <t>Lake Cumberland</t>
  </si>
  <si>
    <t>USACOEND-3WOL20005</t>
  </si>
  <si>
    <t>3WOL20005</t>
  </si>
  <si>
    <t>https://www.waterqualitydata.us/provider/STORET/USACOEND/USACOEND-3WOL20005/</t>
  </si>
  <si>
    <t>USACOEND-3WOL20052</t>
  </si>
  <si>
    <t>3WOL20052</t>
  </si>
  <si>
    <t>https://www.waterqualitydata.us/provider/STORET/USACOEND/USACOEND-3WOL20052/</t>
  </si>
  <si>
    <t>USGS-LA</t>
  </si>
  <si>
    <t>USGS Louisiana Water Science Center</t>
  </si>
  <si>
    <t>USGS-300412090084300</t>
  </si>
  <si>
    <t>Lake Pontchartrain @ Causeway Bridge nr Metairie</t>
  </si>
  <si>
    <t>https://www.waterqualitydata.us/provider/NWIS/USGS-LA/USGS-300412090084300/</t>
  </si>
  <si>
    <t>Louisiana</t>
  </si>
  <si>
    <t>Jefferson Parish</t>
  </si>
  <si>
    <t>Lake Pontchartrain</t>
  </si>
  <si>
    <t>USGS-301050089511600</t>
  </si>
  <si>
    <t>Lake Pontchartrain @ Hwy 11 Causeway nr Slidell</t>
  </si>
  <si>
    <t>https://www.waterqualitydata.us/provider/NWIS/USGS-LA/USGS-301050089511600/</t>
  </si>
  <si>
    <t>Orleans Parish</t>
  </si>
  <si>
    <t>USGS-301528090064600</t>
  </si>
  <si>
    <t>Lake Pontchartrain at Causeway near Mandeville, LA</t>
  </si>
  <si>
    <t>https://www.waterqualitydata.us/provider/NWIS/USGS-LA/USGS-301528090064600/</t>
  </si>
  <si>
    <t>St. Tammany Parish</t>
  </si>
  <si>
    <t>USA-CAN</t>
  </si>
  <si>
    <t>21MICH</t>
  </si>
  <si>
    <t>Michigan Department of Environmental Quality</t>
  </si>
  <si>
    <t>21MICH-060062</t>
  </si>
  <si>
    <t>SAGINAW BAY ABOUT 9.5 MI.S.E.AUGRES RIVER MOUTH</t>
  </si>
  <si>
    <t>https://www.waterqualitydata.us/provider/STORET/21MICH/21MICH-060062/</t>
  </si>
  <si>
    <t>Michigan</t>
  </si>
  <si>
    <t>Arenac County</t>
  </si>
  <si>
    <t>Lake Huron (Saginaw Bay)</t>
  </si>
  <si>
    <t>21MICH-060063</t>
  </si>
  <si>
    <t>SAGINAW BAY ABOUT 4 MILE N.E. OF PINCONNING RIVER</t>
  </si>
  <si>
    <t>https://www.waterqualitydata.us/provider/STORET/21MICH/21MICH-060063/</t>
  </si>
  <si>
    <t>21MICH-090250</t>
  </si>
  <si>
    <t>SAGINAW BAY ABOUT 8 MILE EAST OF PINCONNING RIVER</t>
  </si>
  <si>
    <t>https://www.waterqualitydata.us/provider/STORET/21MICH/21MICH-090250/</t>
  </si>
  <si>
    <t>21MICH-090252</t>
  </si>
  <si>
    <t>SAGINAW BAY ABOUT 2.5 MILE NORTH OF SAG RIVERMOUTH</t>
  </si>
  <si>
    <t>https://www.waterqualitydata.us/provider/STORET/21MICH/21MICH-090252/</t>
  </si>
  <si>
    <t>21MICH-320188</t>
  </si>
  <si>
    <t>SAGINAW BAY ABOUT 9 MI.N.N.W.SEBEWAING HARBOR</t>
  </si>
  <si>
    <t>https://www.waterqualitydata.us/provider/STORET/21MICH/21MICH-320188/</t>
  </si>
  <si>
    <t>Huron County</t>
  </si>
  <si>
    <t>21MICH-320189</t>
  </si>
  <si>
    <t>WILDFOWL BAY ABOUT 2.5 MI.N.N.W.BAYPORT HARBOR</t>
  </si>
  <si>
    <t>https://www.waterqualitydata.us/provider/STORET/21MICH/21MICH-320189/</t>
  </si>
  <si>
    <t>21MICH-790134</t>
  </si>
  <si>
    <t>SAGINAW BAY ABOUT 9 MI.W.S.W.SEBEWAING HARBOR</t>
  </si>
  <si>
    <t>https://www.waterqualitydata.us/provider/STORET/21MICH/21MICH-790134/</t>
  </si>
  <si>
    <t>Tuscola County</t>
  </si>
  <si>
    <t>Alcona County</t>
  </si>
  <si>
    <t>Alger County</t>
  </si>
  <si>
    <t>Allegan County</t>
  </si>
  <si>
    <t>Alpena County</t>
  </si>
  <si>
    <t>Benzie County</t>
  </si>
  <si>
    <t>Cass County</t>
  </si>
  <si>
    <t>Grand Traverse County</t>
  </si>
  <si>
    <t>Iosco County</t>
  </si>
  <si>
    <t>Leelanau County</t>
  </si>
  <si>
    <t>Devils Lake</t>
  </si>
  <si>
    <t>Mason County</t>
  </si>
  <si>
    <t>Muskegon County</t>
  </si>
  <si>
    <t>Oceana County</t>
  </si>
  <si>
    <t>Van Buren County</t>
  </si>
  <si>
    <t>21MICH_WQX</t>
  </si>
  <si>
    <t>Michigan DEQ</t>
  </si>
  <si>
    <t>21MICH_WQX-060062</t>
  </si>
  <si>
    <t>SAGINAW BAY ABOUT 9.5 MI.S.E.AU GRES RIVER MOUTH</t>
  </si>
  <si>
    <t>https://www.waterqualitydata.us/provider/STORET/21MICH_WQX/21MICH_WQX-060062/</t>
  </si>
  <si>
    <t>21MICH_WQX-060063</t>
  </si>
  <si>
    <t>SAGINAW BAY ABOUT 4 MILE NORTHE. OF PINCONNING RIVER</t>
  </si>
  <si>
    <t>https://www.waterqualitydata.us/provider/STORET/21MICH_WQX/21MICH_WQX-060063/</t>
  </si>
  <si>
    <t>21MICH_WQX-060078</t>
  </si>
  <si>
    <t>SAGINAW BAY ABOUT 9.5 MI.SOUTHEAST AU GRES RIVER MOUTH</t>
  </si>
  <si>
    <t>https://www.waterqualitydata.us/provider/STORET/21MICH_WQX/21MICH_WQX-060078/</t>
  </si>
  <si>
    <t>21MICH_WQX-090250</t>
  </si>
  <si>
    <t>https://www.waterqualitydata.us/provider/STORET/21MICH_WQX/21MICH_WQX-090250/</t>
  </si>
  <si>
    <t>21MICH_WQX-090252</t>
  </si>
  <si>
    <t>SAGINAW BAY ABOUT 2.5 MILE NORTH OF SAGINAW RIVER MOUTH</t>
  </si>
  <si>
    <t>https://www.waterqualitydata.us/provider/STORET/21MICH_WQX/21MICH_WQX-090252/</t>
  </si>
  <si>
    <t>21MICH_WQX-280288</t>
  </si>
  <si>
    <t>EAST ARM GRAND TRAVERSE BAY 2 MI FROM SOUTH SHORE</t>
  </si>
  <si>
    <t>https://www.waterqualitydata.us/provider/STORET/21MICH_WQX/21MICH_WQX-280288/</t>
  </si>
  <si>
    <t>Lake Michigan (Grand Traverse Bay)</t>
  </si>
  <si>
    <t>21MICH_WQX-280289</t>
  </si>
  <si>
    <t>EAST ARM GRAND TRAVERSE BAY 2.5 MI FROM NORTH END</t>
  </si>
  <si>
    <t>https://www.waterqualitydata.us/provider/STORET/21MICH_WQX/21MICH_WQX-280289/</t>
  </si>
  <si>
    <t>21MICH_WQX-320188</t>
  </si>
  <si>
    <t>SAGINAW BAY ABOUT 9 MILES NORTH NORTHWEST SEBEWAING HARBOR</t>
  </si>
  <si>
    <t>https://www.waterqualitydata.us/provider/STORET/21MICH_WQX/21MICH_WQX-320188/</t>
  </si>
  <si>
    <t>21MICH_WQX-320189</t>
  </si>
  <si>
    <t>WILDFOWL BAY ABOUT 2.5 MILES NORTH NORTHWEST BAYPORT HARBOR</t>
  </si>
  <si>
    <t>https://www.waterqualitydata.us/provider/STORET/21MICH_WQX/21MICH_WQX-320189/</t>
  </si>
  <si>
    <t>21MICH_WQX-450132</t>
  </si>
  <si>
    <t>WEST ARM GRAND TRAVERSE BAY 2 MI FROM SOUTH SHORE</t>
  </si>
  <si>
    <t>https://www.waterqualitydata.us/provider/STORET/21MICH_WQX/21MICH_WQX-450132/</t>
  </si>
  <si>
    <t>21MICH_WQX-450133</t>
  </si>
  <si>
    <t>WEST ARM GRAND TRAVERSE BAY 3 MI SOUTHEAST STONY POINT</t>
  </si>
  <si>
    <t>https://www.waterqualitydata.us/provider/STORET/21MICH_WQX/21MICH_WQX-450133/</t>
  </si>
  <si>
    <t>21MICH_WQX-790134</t>
  </si>
  <si>
    <t>https://www.waterqualitydata.us/provider/STORET/21MICH_WQX/21MICH_WQX-790134/</t>
  </si>
  <si>
    <t>EPA_GLNPO</t>
  </si>
  <si>
    <t>EPA Great Lakes National Program</t>
  </si>
  <si>
    <t>EPA_GLNPO-HU09</t>
  </si>
  <si>
    <t>HU09</t>
  </si>
  <si>
    <t>Great Lake</t>
  </si>
  <si>
    <t>https://www.waterqualitydata.us/provider/STORET/EPA_GLNPO/EPA_GLNPO-HU09/</t>
  </si>
  <si>
    <t>Sanilac County</t>
  </si>
  <si>
    <t>Lake Huron</t>
  </si>
  <si>
    <t>EPA_GLNPO-HU15M</t>
  </si>
  <si>
    <t>HU15M</t>
  </si>
  <si>
    <t>https://www.waterqualitydata.us/provider/STORET/EPA_GLNPO/EPA_GLNPO-HU15M/</t>
  </si>
  <si>
    <t>EPA_GLNPO-HU27</t>
  </si>
  <si>
    <t>HU27</t>
  </si>
  <si>
    <t>https://www.waterqualitydata.us/provider/STORET/EPA_GLNPO/EPA_GLNPO-HU27/</t>
  </si>
  <si>
    <t>EPA_GLNPO-HU32</t>
  </si>
  <si>
    <t>HU32</t>
  </si>
  <si>
    <t>https://www.waterqualitydata.us/provider/STORET/EPA_GLNPO/EPA_GLNPO-HU32/</t>
  </si>
  <si>
    <t>EPA_GLNPO-HU37</t>
  </si>
  <si>
    <t>HU37</t>
  </si>
  <si>
    <t>https://www.waterqualitydata.us/provider/STORET/EPA_GLNPO/EPA_GLNPO-HU37/</t>
  </si>
  <si>
    <t>EPA_GLNPO-HU45M</t>
  </si>
  <si>
    <t>HU45M</t>
  </si>
  <si>
    <t>https://www.waterqualitydata.us/provider/STORET/EPA_GLNPO/EPA_GLNPO-HU45M/</t>
  </si>
  <si>
    <t>EPA_GLNPO-HU53</t>
  </si>
  <si>
    <t>HU53</t>
  </si>
  <si>
    <t>https://www.waterqualitydata.us/provider/STORET/EPA_GLNPO/EPA_GLNPO-HU53/</t>
  </si>
  <si>
    <t>Presque Isle County</t>
  </si>
  <si>
    <t>EPA_GLNPO-HU54M</t>
  </si>
  <si>
    <t>HU54M</t>
  </si>
  <si>
    <t>https://www.waterqualitydata.us/provider/STORET/EPA_GLNPO/EPA_GLNPO-HU54M/</t>
  </si>
  <si>
    <t>EPA_GLNPO-HU61</t>
  </si>
  <si>
    <t>HU61</t>
  </si>
  <si>
    <t>https://www.waterqualitydata.us/provider/STORET/EPA_GLNPO/EPA_GLNPO-HU61/</t>
  </si>
  <si>
    <t>EPA_GLNPO-HUFE</t>
  </si>
  <si>
    <t>HUFE</t>
  </si>
  <si>
    <t>https://www.waterqualitydata.us/provider/STORET/EPA_GLNPO/EPA_GLNPO-HUFE/</t>
  </si>
  <si>
    <t>EPA_GLNPO-HUFO</t>
  </si>
  <si>
    <t>HUFO</t>
  </si>
  <si>
    <t>https://www.waterqualitydata.us/provider/STORET/EPA_GLNPO/EPA_GLNPO-HUFO/</t>
  </si>
  <si>
    <t>EPA_GLNPO-MI11</t>
  </si>
  <si>
    <t>MI11</t>
  </si>
  <si>
    <t>https://www.waterqualitydata.us/provider/STORET/EPA_GLNPO/EPA_GLNPO-MI11/</t>
  </si>
  <si>
    <t>Lake Michigan</t>
  </si>
  <si>
    <t>EPA_GLNPO-MI18M</t>
  </si>
  <si>
    <t>MI18M</t>
  </si>
  <si>
    <t>https://www.waterqualitydata.us/provider/STORET/EPA_GLNPO/EPA_GLNPO-MI18M/</t>
  </si>
  <si>
    <t>EPA_GLNPO-MI19</t>
  </si>
  <si>
    <t>MI19</t>
  </si>
  <si>
    <t>https://www.waterqualitydata.us/provider/STORET/EPA_GLNPO/EPA_GLNPO-MI19/</t>
  </si>
  <si>
    <t>Ottawa County</t>
  </si>
  <si>
    <t>EPA_GLNPO-MI23</t>
  </si>
  <si>
    <t>MI23</t>
  </si>
  <si>
    <t>https://www.waterqualitydata.us/provider/STORET/EPA_GLNPO/EPA_GLNPO-MI23/</t>
  </si>
  <si>
    <t>EPA_GLNPO-MI27M</t>
  </si>
  <si>
    <t>MI27M</t>
  </si>
  <si>
    <t>https://www.waterqualitydata.us/provider/STORET/EPA_GLNPO/EPA_GLNPO-MI27M/</t>
  </si>
  <si>
    <t>EPA_GLNPO-MI34</t>
  </si>
  <si>
    <t>MI34</t>
  </si>
  <si>
    <t>https://www.waterqualitydata.us/provider/STORET/EPA_GLNPO/EPA_GLNPO-MI34/</t>
  </si>
  <si>
    <t>EPA_GLNPO-MI41M</t>
  </si>
  <si>
    <t>MI41M</t>
  </si>
  <si>
    <t>https://www.waterqualitydata.us/provider/STORET/EPA_GLNPO/EPA_GLNPO-MI41M/</t>
  </si>
  <si>
    <t>EPA_GLNPO-MIFE</t>
  </si>
  <si>
    <t>MIFE</t>
  </si>
  <si>
    <t>https://www.waterqualitydata.us/provider/STORET/EPA_GLNPO/EPA_GLNPO-MIFE/</t>
  </si>
  <si>
    <t>EPA_GLNPO-SU01M</t>
  </si>
  <si>
    <t>SU01M</t>
  </si>
  <si>
    <t>https://www.waterqualitydata.us/provider/STORET/EPA_GLNPO/EPA_GLNPO-SU01M/</t>
  </si>
  <si>
    <t>Chippewa County</t>
  </si>
  <si>
    <t>Lake Superior</t>
  </si>
  <si>
    <t>EPA_GLNPO-SU03</t>
  </si>
  <si>
    <t>SU03</t>
  </si>
  <si>
    <t>https://www.waterqualitydata.us/provider/STORET/EPA_GLNPO/EPA_GLNPO-SU03/</t>
  </si>
  <si>
    <t>Luce County</t>
  </si>
  <si>
    <t>EPA_GLNPO-SU04</t>
  </si>
  <si>
    <t>SU04</t>
  </si>
  <si>
    <t>https://www.waterqualitydata.us/provider/STORET/EPA_GLNPO/EPA_GLNPO-SU04/</t>
  </si>
  <si>
    <t>EPA_GLNPO-SU05</t>
  </si>
  <si>
    <t>SU05</t>
  </si>
  <si>
    <t>https://www.waterqualitydata.us/provider/STORET/EPA_GLNPO/EPA_GLNPO-SU05/</t>
  </si>
  <si>
    <t>EPA_GLNPO-SU08M</t>
  </si>
  <si>
    <t>SU08M</t>
  </si>
  <si>
    <t>https://www.waterqualitydata.us/provider/STORET/EPA_GLNPO/EPA_GLNPO-SU08M/</t>
  </si>
  <si>
    <t>EPA_GLNPO-SU10</t>
  </si>
  <si>
    <t>SU10</t>
  </si>
  <si>
    <t>https://www.waterqualitydata.us/provider/STORET/EPA_GLNPO/EPA_GLNPO-SU10/</t>
  </si>
  <si>
    <t>Keweenaw County</t>
  </si>
  <si>
    <t>EPA_GLNPO-SU12</t>
  </si>
  <si>
    <t>SU12</t>
  </si>
  <si>
    <t>https://www.waterqualitydata.us/provider/STORET/EPA_GLNPO/EPA_GLNPO-SU12/</t>
  </si>
  <si>
    <t>EPA_GLNPO-SU13</t>
  </si>
  <si>
    <t>SU13</t>
  </si>
  <si>
    <t>https://www.waterqualitydata.us/provider/STORET/EPA_GLNPO/EPA_GLNPO-SU13/</t>
  </si>
  <si>
    <t>EPA_GLNPO-SU14</t>
  </si>
  <si>
    <t>SU14</t>
  </si>
  <si>
    <t>https://www.waterqualitydata.us/provider/STORET/EPA_GLNPO/EPA_GLNPO-SU14/</t>
  </si>
  <si>
    <t>EPA_GLNPO-SU16</t>
  </si>
  <si>
    <t>SU16</t>
  </si>
  <si>
    <t>https://www.waterqualitydata.us/provider/STORET/EPA_GLNPO/EPA_GLNPO-SU16/</t>
  </si>
  <si>
    <t>Ontonagon County</t>
  </si>
  <si>
    <t>EPA_GLNPO-SU17M</t>
  </si>
  <si>
    <t>SU17M</t>
  </si>
  <si>
    <t>https://www.waterqualitydata.us/provider/STORET/EPA_GLNPO/EPA_GLNPO-SU17M/</t>
  </si>
  <si>
    <t>EPA_GLNPO-SUFO</t>
  </si>
  <si>
    <t>SUFO</t>
  </si>
  <si>
    <t>https://www.waterqualitydata.us/provider/STORET/EPA_GLNPO/EPA_GLNPO-SUFO/</t>
  </si>
  <si>
    <t>Minnesota</t>
  </si>
  <si>
    <t>EPA_GLNPO-SU18</t>
  </si>
  <si>
    <t>SU18</t>
  </si>
  <si>
    <t>https://www.waterqualitydata.us/provider/STORET/EPA_GLNPO/EPA_GLNPO-SU18/</t>
  </si>
  <si>
    <t>Cook County</t>
  </si>
  <si>
    <t>EPA_GLNPO-SU19</t>
  </si>
  <si>
    <t>SU19</t>
  </si>
  <si>
    <t>https://www.waterqualitydata.us/provider/STORET/EPA_GLNPO/EPA_GLNPO-SU19/</t>
  </si>
  <si>
    <t>MLBO_DNR_WQX</t>
  </si>
  <si>
    <t>Mille Lacs Band of Ojibwe DNR/Environment</t>
  </si>
  <si>
    <t>MLBO_DNR_WQX-CEAST</t>
  </si>
  <si>
    <t>ML-CE</t>
  </si>
  <si>
    <t>https://www.waterqualitydata.us/provider/STORET/MLBO_DNR_WQX/MLBO_DNR_WQX-CEAST/</t>
  </si>
  <si>
    <t>Aitkin County</t>
  </si>
  <si>
    <t>Mille Lacs Lake</t>
  </si>
  <si>
    <t>MLBO_DNR_WQX-DIT36</t>
  </si>
  <si>
    <t>ML-DITCH 36</t>
  </si>
  <si>
    <t>https://www.waterqualitydata.us/provider/STORET/MLBO_DNR_WQX/MLBO_DNR_WQX-DIT36/</t>
  </si>
  <si>
    <t>MLBO_DNR_WQX-GARRI</t>
  </si>
  <si>
    <t>ML-GARRISON</t>
  </si>
  <si>
    <t>https://www.waterqualitydata.us/provider/STORET/MLBO_DNR_WQX/MLBO_DNR_WQX-GARRI/</t>
  </si>
  <si>
    <t>MLBO_DNR_WQX-MALON</t>
  </si>
  <si>
    <t>ML-MALONE</t>
  </si>
  <si>
    <t>https://www.waterqualitydata.us/provider/STORET/MLBO_DNR_WQX/MLBO_DNR_WQX-MALON/</t>
  </si>
  <si>
    <t>Mille Lacs County</t>
  </si>
  <si>
    <t>MLBO_DNR_WQX-ML001</t>
  </si>
  <si>
    <t>ML-1</t>
  </si>
  <si>
    <t>https://www.waterqualitydata.us/provider/STORET/MLBO_DNR_WQX/MLBO_DNR_WQX-ML001/</t>
  </si>
  <si>
    <t>MLBO_DNR_WQX-ML006</t>
  </si>
  <si>
    <t>ML-6</t>
  </si>
  <si>
    <t>https://www.waterqualitydata.us/provider/STORET/MLBO_DNR_WQX/MLBO_DNR_WQX-ML006/</t>
  </si>
  <si>
    <t>MLBO_DNR_WQX-ML020</t>
  </si>
  <si>
    <t>ML-20</t>
  </si>
  <si>
    <t>https://www.waterqualitydata.us/provider/STORET/MLBO_DNR_WQX/MLBO_DNR_WQX-ML020/</t>
  </si>
  <si>
    <t>MLBO_DNR_WQX-ML024</t>
  </si>
  <si>
    <t>ML-24</t>
  </si>
  <si>
    <t>https://www.waterqualitydata.us/provider/STORET/MLBO_DNR_WQX/MLBO_DNR_WQX-ML024/</t>
  </si>
  <si>
    <t>MLBO_DNR_WQX-NEAST</t>
  </si>
  <si>
    <t>ML-NE</t>
  </si>
  <si>
    <t>https://www.waterqualitydata.us/provider/STORET/MLBO_DNR_WQX/MLBO_DNR_WQX-NEAST/</t>
  </si>
  <si>
    <t>MLBO_DNR_WQX-NSHOR</t>
  </si>
  <si>
    <t>ML-NSHORE</t>
  </si>
  <si>
    <t>https://www.waterqualitydata.us/provider/STORET/MLBO_DNR_WQX/MLBO_DNR_WQX-NSHOR/</t>
  </si>
  <si>
    <t>MLBO_DNR_WQX-NWEST</t>
  </si>
  <si>
    <t>ML-NW</t>
  </si>
  <si>
    <t>https://www.waterqualitydata.us/provider/STORET/MLBO_DNR_WQX/MLBO_DNR_WQX-NWEST/</t>
  </si>
  <si>
    <t>MLBO_DNR_WQX-PETER</t>
  </si>
  <si>
    <t>ML-PETERSON</t>
  </si>
  <si>
    <t>https://www.waterqualitydata.us/provider/STORET/MLBO_DNR_WQX/MLBO_DNR_WQX-PETER/</t>
  </si>
  <si>
    <t>MLBO_DNR_WQX-SEAST</t>
  </si>
  <si>
    <t>ML-SE</t>
  </si>
  <si>
    <t>https://www.waterqualitydata.us/provider/STORET/MLBO_DNR_WQX/MLBO_DNR_WQX-SEAST/</t>
  </si>
  <si>
    <t>MLBO_DNR_WQX-SEVTN</t>
  </si>
  <si>
    <t>ML-SEVENTEEN</t>
  </si>
  <si>
    <t>https://www.waterqualitydata.us/provider/STORET/MLBO_DNR_WQX/MLBO_DNR_WQX-SEVTN/</t>
  </si>
  <si>
    <t>MLBO_DNR_WQX-THAIN</t>
  </si>
  <si>
    <t>ML-THAINS</t>
  </si>
  <si>
    <t>https://www.waterqualitydata.us/provider/STORET/MLBO_DNR_WQX/MLBO_DNR_WQX-THAIN/</t>
  </si>
  <si>
    <t>MLBO_DNR_WQX-VINEL</t>
  </si>
  <si>
    <t>ML-VINELAND</t>
  </si>
  <si>
    <t>https://www.waterqualitydata.us/provider/STORET/MLBO_DNR_WQX/MLBO_DNR_WQX-VINEL/</t>
  </si>
  <si>
    <t>REDLAKE_WQX</t>
  </si>
  <si>
    <t>Red Lake DNR</t>
  </si>
  <si>
    <t>REDLAKE_WQX-LRC</t>
  </si>
  <si>
    <t>Lower Red Lake : Central</t>
  </si>
  <si>
    <t>https://www.waterqualitydata.us/provider/STORET/REDLAKE_WQX/REDLAKE_WQX-LRC/</t>
  </si>
  <si>
    <t>Beltrami County</t>
  </si>
  <si>
    <t>Lower Red Lake</t>
  </si>
  <si>
    <t>REDLAKE_WQX-LRE</t>
  </si>
  <si>
    <t>Lower Red Lake : East</t>
  </si>
  <si>
    <t>https://www.waterqualitydata.us/provider/STORET/REDLAKE_WQX/REDLAKE_WQX-LRE/</t>
  </si>
  <si>
    <t>REDLAKE_WQX-LRE-C</t>
  </si>
  <si>
    <t>Lower Red Lake : East Central</t>
  </si>
  <si>
    <t>https://www.waterqualitydata.us/provider/STORET/REDLAKE_WQX/REDLAKE_WQX-LRE-C/</t>
  </si>
  <si>
    <t>REDLAKE_WQX-LRW</t>
  </si>
  <si>
    <t>Lower Red Lake : West</t>
  </si>
  <si>
    <t>https://www.waterqualitydata.us/provider/STORET/REDLAKE_WQX/REDLAKE_WQX-LRW/</t>
  </si>
  <si>
    <t>REDLAKE_WQX-LRW-C</t>
  </si>
  <si>
    <t>Lower Red Lake: West Central</t>
  </si>
  <si>
    <t>https://www.waterqualitydata.us/provider/STORET/REDLAKE_WQX/REDLAKE_WQX-LRW-C/</t>
  </si>
  <si>
    <t>REDLAKE_WQX-URC</t>
  </si>
  <si>
    <t>Upper Red Lake: Central</t>
  </si>
  <si>
    <t>https://www.waterqualitydata.us/provider/STORET/REDLAKE_WQX/REDLAKE_WQX-URC/</t>
  </si>
  <si>
    <t>Upper Red Lake</t>
  </si>
  <si>
    <t>REDLAKE_WQX-URE</t>
  </si>
  <si>
    <t>Upper Red Lake: East</t>
  </si>
  <si>
    <t>https://www.waterqualitydata.us/provider/STORET/REDLAKE_WQX/REDLAKE_WQX-URE/</t>
  </si>
  <si>
    <t>REDLAKE_WQX-URE-C</t>
  </si>
  <si>
    <t>Upper Red Lake: East Central</t>
  </si>
  <si>
    <t>https://www.waterqualitydata.us/provider/STORET/REDLAKE_WQX/REDLAKE_WQX-URE-C/</t>
  </si>
  <si>
    <t>REDLAKE_WQX-URW</t>
  </si>
  <si>
    <t>Upper Red Lake: West</t>
  </si>
  <si>
    <t>https://www.waterqualitydata.us/provider/STORET/REDLAKE_WQX/REDLAKE_WQX-URW/</t>
  </si>
  <si>
    <t>REDLAKE_WQX-URW-C</t>
  </si>
  <si>
    <t>Upper Red Lake: West-Central</t>
  </si>
  <si>
    <t>https://www.waterqualitydata.us/provider/STORET/REDLAKE_WQX/REDLAKE_WQX-URW-C/</t>
  </si>
  <si>
    <t>USGS-MT</t>
  </si>
  <si>
    <t>USGS Montana Water Science Center</t>
  </si>
  <si>
    <t>USGS-12300110</t>
  </si>
  <si>
    <t>Lake Koocanusa at international boundary</t>
  </si>
  <si>
    <t>https://www.waterqualitydata.us/provider/NWIS/USGS-MT/USGS-12300110/</t>
  </si>
  <si>
    <t>Montana</t>
  </si>
  <si>
    <t>Lincoln County</t>
  </si>
  <si>
    <t>Lake Koocanusa</t>
  </si>
  <si>
    <t>USGS-12301830</t>
  </si>
  <si>
    <t>Lake Koocanusa at Tenmile Cr nr Libby MT</t>
  </si>
  <si>
    <t>https://www.waterqualitydata.us/provider/NWIS/USGS-MT/USGS-12301830/</t>
  </si>
  <si>
    <t>USGS-12301919</t>
  </si>
  <si>
    <t>Lake Koocanusa at forebay, nr Libby, MT</t>
  </si>
  <si>
    <t>https://www.waterqualitydata.us/provider/NWIS/USGS-MT/USGS-12301919/</t>
  </si>
  <si>
    <t>COEOMAHA_WQX</t>
  </si>
  <si>
    <t>US Army Corps of Engineers Omaha District</t>
  </si>
  <si>
    <t>COEOMAHA_WQX-FTPLK1772A</t>
  </si>
  <si>
    <t>FTPLK1772A</t>
  </si>
  <si>
    <t>https://www.waterqualitydata.us/provider/STORET/COEOMAHA_WQX/COEOMAHA_WQX-FTPLK1772A/</t>
  </si>
  <si>
    <t>Fort Peck Lake</t>
  </si>
  <si>
    <t>COEOMAHA_WQX-FTPLK1805DW</t>
  </si>
  <si>
    <t>FTPLK1805DW</t>
  </si>
  <si>
    <t>https://www.waterqualitydata.us/provider/STORET/COEOMAHA_WQX/COEOMAHA_WQX-FTPLK1805DW/</t>
  </si>
  <si>
    <t>COEOMAHA_WQX-FTPLKBDCA02</t>
  </si>
  <si>
    <t>FTPLKBDCA02</t>
  </si>
  <si>
    <t>https://www.waterqualitydata.us/provider/STORET/COEOMAHA_WQX/COEOMAHA_WQX-FTPLKBDCA02/</t>
  </si>
  <si>
    <t>Garfield County</t>
  </si>
  <si>
    <t>Nebraska</t>
  </si>
  <si>
    <t>21NEB001_WQX</t>
  </si>
  <si>
    <t>Nebraska Department of Environment and Energy</t>
  </si>
  <si>
    <t>21NEB001_WQX-LNP2MCCNHY01</t>
  </si>
  <si>
    <t>Lake C.W. McConaughy -- Deep Water -- Site 01</t>
  </si>
  <si>
    <t>https://www.waterqualitydata.us/provider/STORET/21NEB001_WQX/21NEB001_WQX-LNP2MCCNHY01/</t>
  </si>
  <si>
    <t>Keith County</t>
  </si>
  <si>
    <t>Lake McConaughy</t>
  </si>
  <si>
    <t>COEOMAHA_WQX-GPTLK0825DW</t>
  </si>
  <si>
    <t>GPTLK0825DW</t>
  </si>
  <si>
    <t>https://www.waterqualitydata.us/provider/STORET/COEOMAHA_WQX/COEOMAHA_WQX-GPTLK0825DW/</t>
  </si>
  <si>
    <t>Knox County</t>
  </si>
  <si>
    <t>Lewis and Clark Lake</t>
  </si>
  <si>
    <t>USGS-NV</t>
  </si>
  <si>
    <t>USGS Nevada Water Science Center</t>
  </si>
  <si>
    <t>USGS-360314114450500</t>
  </si>
  <si>
    <t>SENTINEL ISLAND QW PLATFORM SURFACE</t>
  </si>
  <si>
    <t>https://www.waterqualitydata.us/provider/NWIS/USGS-NV/USGS-360314114450500/</t>
  </si>
  <si>
    <t>Nevada</t>
  </si>
  <si>
    <t>Clark County</t>
  </si>
  <si>
    <t>Lake Mead</t>
  </si>
  <si>
    <t>USGS-360700114505101</t>
  </si>
  <si>
    <t>LAS VEGAS BAY QW PLATFORM SITE3 1 METER DEPTH</t>
  </si>
  <si>
    <t>https://www.waterqualitydata.us/provider/NWIS/USGS-NV/USGS-360700114505101/</t>
  </si>
  <si>
    <t>USGS-360901114321000</t>
  </si>
  <si>
    <t>LAKE MEAD VIRGIN BASIN QW PLATFORM SURFACE</t>
  </si>
  <si>
    <t>https://www.waterqualitydata.us/provider/NWIS/USGS-NV/USGS-360901114321000/</t>
  </si>
  <si>
    <t>USGS-362601114204500</t>
  </si>
  <si>
    <t>LAKE MEAD OVERTON ARM QW PLATFORM SURFACE</t>
  </si>
  <si>
    <t>https://www.waterqualitydata.us/provider/NWIS/USGS-NV/USGS-362601114204500/</t>
  </si>
  <si>
    <t>USGS-383903118425301</t>
  </si>
  <si>
    <t>WALKER LAKE 2 SOUTH NDOW</t>
  </si>
  <si>
    <t>https://www.waterqualitydata.us/provider/NWIS/USGS-NV/USGS-383903118425301/</t>
  </si>
  <si>
    <t>Mineral County</t>
  </si>
  <si>
    <t>Walker Lake</t>
  </si>
  <si>
    <t>USGS-384200118431901</t>
  </si>
  <si>
    <t>WALKER LAKE 3 CENTER NDOW</t>
  </si>
  <si>
    <t>https://www.waterqualitydata.us/provider/NWIS/USGS-NV/USGS-384200118431901/</t>
  </si>
  <si>
    <t>USGS-384506118433001</t>
  </si>
  <si>
    <t>WALKER LAKE 4 NORTH NDOW</t>
  </si>
  <si>
    <t>https://www.waterqualitydata.us/provider/NWIS/USGS-NV/USGS-384506118433001/</t>
  </si>
  <si>
    <t>USGS-384540118433001</t>
  </si>
  <si>
    <t>WALKER LAKE NEAR MOUTH 1 USGS</t>
  </si>
  <si>
    <t>https://www.waterqualitydata.us/provider/NWIS/USGS-NV/USGS-384540118433001/</t>
  </si>
  <si>
    <t>21NEV1_WQX</t>
  </si>
  <si>
    <t>Nevada Division of Environmental Protection</t>
  </si>
  <si>
    <t>21NEV1_WQX-WL2e</t>
  </si>
  <si>
    <t>Walker Lake 2 South - Epilimnion</t>
  </si>
  <si>
    <t>https://www.waterqualitydata.us/provider/STORET/21NEV1_WQX/21NEV1_WQX-WL2e/</t>
  </si>
  <si>
    <t>21NEV1_WQX-WL2m</t>
  </si>
  <si>
    <t>Walker Lake 2 South - Metalimnion</t>
  </si>
  <si>
    <t>https://www.waterqualitydata.us/provider/STORET/21NEV1_WQX/21NEV1_WQX-WL2m/</t>
  </si>
  <si>
    <t>21NEV1_WQX-WL3e</t>
  </si>
  <si>
    <t>Walker Lake 3 Center - Epilimnion</t>
  </si>
  <si>
    <t>https://www.waterqualitydata.us/provider/STORET/21NEV1_WQX/21NEV1_WQX-WL3e/</t>
  </si>
  <si>
    <t>21NEV1_WQX-WL3m</t>
  </si>
  <si>
    <t>Walker Lake 3 Center - Middle</t>
  </si>
  <si>
    <t>https://www.waterqualitydata.us/provider/STORET/21NEV1_WQX/21NEV1_WQX-WL3m/</t>
  </si>
  <si>
    <t>21NEV1_WQX-WL4e</t>
  </si>
  <si>
    <t>Walker Lake 4 North - Epilimnion</t>
  </si>
  <si>
    <t>https://www.waterqualitydata.us/provider/STORET/21NEV1_WQX/21NEV1_WQX-WL4e/</t>
  </si>
  <si>
    <t>21NEV1_WQX-WL4m</t>
  </si>
  <si>
    <t>Walker Lake 4 North - Metalimnion</t>
  </si>
  <si>
    <t>https://www.waterqualitydata.us/provider/STORET/21NEV1_WQX/21NEV1_WQX-WL4m/</t>
  </si>
  <si>
    <t>1VTDECWQ</t>
  </si>
  <si>
    <t>Vermont Dept of Environmental Conservation</t>
  </si>
  <si>
    <t>USGS-NY</t>
  </si>
  <si>
    <t>USGS New York Water Science Center</t>
  </si>
  <si>
    <t>USGS-425027076564401</t>
  </si>
  <si>
    <t>SENECA LAKE PLATFORM</t>
  </si>
  <si>
    <t>https://www.waterqualitydata.us/provider/NWIS/USGS-NY/USGS-425027076564401/</t>
  </si>
  <si>
    <t>New York</t>
  </si>
  <si>
    <t>Seneca County</t>
  </si>
  <si>
    <t>Seneca Lake</t>
  </si>
  <si>
    <t>1VTDECWQ-500458</t>
  </si>
  <si>
    <t>Main Section - Lake Champlain</t>
  </si>
  <si>
    <t>https://www.waterqualitydata.us/provider/STORET/1VTDECWQ/1VTDECWQ-500458/</t>
  </si>
  <si>
    <t>Essex County</t>
  </si>
  <si>
    <t>Lake Champlain</t>
  </si>
  <si>
    <t>1VTDECWQ-500468</t>
  </si>
  <si>
    <t>https://www.waterqualitydata.us/provider/STORET/1VTDECWQ/1VTDECWQ-500468/</t>
  </si>
  <si>
    <t>Clinton County</t>
  </si>
  <si>
    <t>1VTDECWQ-500470</t>
  </si>
  <si>
    <t>Isle La Motte - Lake Champlain</t>
  </si>
  <si>
    <t>https://www.waterqualitydata.us/provider/STORET/1VTDECWQ/1VTDECWQ-500470/</t>
  </si>
  <si>
    <t>1VTDECWQ-502714</t>
  </si>
  <si>
    <t>Champlain Bridge</t>
  </si>
  <si>
    <t>https://www.waterqualitydata.us/provider/STORET/1VTDECWQ/1VTDECWQ-502714/</t>
  </si>
  <si>
    <t>1VTDECWQ-502715</t>
  </si>
  <si>
    <t>Queneska Island</t>
  </si>
  <si>
    <t>https://www.waterqualitydata.us/provider/STORET/1VTDECWQ/1VTDECWQ-502715/</t>
  </si>
  <si>
    <t>1VTDECWQ-503288</t>
  </si>
  <si>
    <t>Southern Section - Lake Champlain</t>
  </si>
  <si>
    <t>https://www.waterqualitydata.us/provider/STORET/1VTDECWQ/1VTDECWQ-503288/</t>
  </si>
  <si>
    <t>1VTDECWQ-503414</t>
  </si>
  <si>
    <t>https://www.waterqualitydata.us/provider/STORET/1VTDECWQ/1VTDECWQ-503414/</t>
  </si>
  <si>
    <t>1VTDECWQ-503535</t>
  </si>
  <si>
    <t>https://www.waterqualitydata.us/provider/STORET/1VTDECWQ/1VTDECWQ-503535/</t>
  </si>
  <si>
    <t>1VTDECWQ-503536</t>
  </si>
  <si>
    <t>https://www.waterqualitydata.us/provider/STORET/1VTDECWQ/1VTDECWQ-503536/</t>
  </si>
  <si>
    <t>EPA_GLNPO-ON33M</t>
  </si>
  <si>
    <t>ON33M</t>
  </si>
  <si>
    <t>https://www.waterqualitydata.us/provider/STORET/EPA_GLNPO/EPA_GLNPO-ON33M/</t>
  </si>
  <si>
    <t>Niagara County</t>
  </si>
  <si>
    <t>Lake Ontario</t>
  </si>
  <si>
    <t>EPA_GLNPO-ON55M</t>
  </si>
  <si>
    <t>ON55M</t>
  </si>
  <si>
    <t>https://www.waterqualitydata.us/provider/STORET/EPA_GLNPO/EPA_GLNPO-ON55M/</t>
  </si>
  <si>
    <t>EPA_GLNPO-ON60</t>
  </si>
  <si>
    <t>ON60</t>
  </si>
  <si>
    <t>https://www.waterqualitydata.us/provider/STORET/EPA_GLNPO/EPA_GLNPO-ON60/</t>
  </si>
  <si>
    <t>North Dakota</t>
  </si>
  <si>
    <t>Ramsey County</t>
  </si>
  <si>
    <t>McLean County</t>
  </si>
  <si>
    <t>21NDHDWQ</t>
  </si>
  <si>
    <t>North Dakota Dept. of Health</t>
  </si>
  <si>
    <t>21NDHDWQ-382000</t>
  </si>
  <si>
    <t>LAKE SAKAKAWEA</t>
  </si>
  <si>
    <t>https://www.waterqualitydata.us/provider/STORET/21NDHDWQ/21NDHDWQ-382000/</t>
  </si>
  <si>
    <t>Lake Sakakawea</t>
  </si>
  <si>
    <t>21NDHDWQ-382003</t>
  </si>
  <si>
    <t>Lake Sakakawea - near Douglas Bay</t>
  </si>
  <si>
    <t>https://www.waterqualitydata.us/provider/STORET/21NDHDWQ/21NDHDWQ-382003/</t>
  </si>
  <si>
    <t>21NDHDWQ-382010</t>
  </si>
  <si>
    <t>https://www.waterqualitydata.us/provider/STORET/21NDHDWQ/21NDHDWQ-382010/</t>
  </si>
  <si>
    <t>21NDHDWQ-382020</t>
  </si>
  <si>
    <t>https://www.waterqualitydata.us/provider/STORET/21NDHDWQ/21NDHDWQ-382020/</t>
  </si>
  <si>
    <t>Mercer County</t>
  </si>
  <si>
    <t>21NDHDWQ-382030</t>
  </si>
  <si>
    <t>https://www.waterqualitydata.us/provider/STORET/21NDHDWQ/21NDHDWQ-382030/</t>
  </si>
  <si>
    <t>Dunn County</t>
  </si>
  <si>
    <t>21NDHDWQ-382038</t>
  </si>
  <si>
    <t>Lake Sakakawea - Independence Point</t>
  </si>
  <si>
    <t>https://www.waterqualitydata.us/provider/STORET/21NDHDWQ/21NDHDWQ-382038/</t>
  </si>
  <si>
    <t>21NDHDWQ-382045</t>
  </si>
  <si>
    <t>https://www.waterqualitydata.us/provider/STORET/21NDHDWQ/21NDHDWQ-382045/</t>
  </si>
  <si>
    <t>McKenzie County</t>
  </si>
  <si>
    <t>21NDHDWQ_WQX</t>
  </si>
  <si>
    <t>North Dakota Department Of Environmental Quality</t>
  </si>
  <si>
    <t>21NDHDWQ_WQX-380221</t>
  </si>
  <si>
    <t>Devils Lake - 6 Mile Bay</t>
  </si>
  <si>
    <t>https://www.waterqualitydata.us/provider/STORET/21NDHDWQ_WQX/21NDHDWQ_WQX-380221/</t>
  </si>
  <si>
    <t>21NDHDWQ_WQX-380233</t>
  </si>
  <si>
    <t>Devils Lake - Main Bay Deepest</t>
  </si>
  <si>
    <t>https://www.waterqualitydata.us/provider/STORET/21NDHDWQ_WQX/21NDHDWQ_WQX-380233/</t>
  </si>
  <si>
    <t>21NDHDWQ_WQX-380234</t>
  </si>
  <si>
    <t>Devils Lake - East Bay Deepest</t>
  </si>
  <si>
    <t>https://www.waterqualitydata.us/provider/STORET/21NDHDWQ_WQX/21NDHDWQ_WQX-380234/</t>
  </si>
  <si>
    <t>21NDHDWQ_WQX-380236</t>
  </si>
  <si>
    <t>Devils Lake - West Bay Deepest</t>
  </si>
  <si>
    <t>https://www.waterqualitydata.us/provider/STORET/21NDHDWQ_WQX/21NDHDWQ_WQX-380236/</t>
  </si>
  <si>
    <t>Benson County</t>
  </si>
  <si>
    <t>21NDHDWQ_WQX-382000</t>
  </si>
  <si>
    <t>https://www.waterqualitydata.us/provider/STORET/21NDHDWQ_WQX/21NDHDWQ_WQX-382000/</t>
  </si>
  <si>
    <t>21NDHDWQ_WQX-382003</t>
  </si>
  <si>
    <t>https://www.waterqualitydata.us/provider/STORET/21NDHDWQ_WQX/21NDHDWQ_WQX-382003/</t>
  </si>
  <si>
    <t>21NDHDWQ_WQX-382010</t>
  </si>
  <si>
    <t>https://www.waterqualitydata.us/provider/STORET/21NDHDWQ_WQX/21NDHDWQ_WQX-382010/</t>
  </si>
  <si>
    <t>21NDHDWQ_WQX-382020</t>
  </si>
  <si>
    <t>https://www.waterqualitydata.us/provider/STORET/21NDHDWQ_WQX/21NDHDWQ_WQX-382020/</t>
  </si>
  <si>
    <t>21NDHDWQ_WQX-382030</t>
  </si>
  <si>
    <t>https://www.waterqualitydata.us/provider/STORET/21NDHDWQ_WQX/21NDHDWQ_WQX-382030/</t>
  </si>
  <si>
    <t>21NDHDWQ_WQX-382038</t>
  </si>
  <si>
    <t>https://www.waterqualitydata.us/provider/STORET/21NDHDWQ_WQX/21NDHDWQ_WQX-382038/</t>
  </si>
  <si>
    <t>21NDHDWQ_WQX-382045</t>
  </si>
  <si>
    <t>https://www.waterqualitydata.us/provider/STORET/21NDHDWQ_WQX/21NDHDWQ_WQX-382045/</t>
  </si>
  <si>
    <t>21NDHDWQ_WQX-384160</t>
  </si>
  <si>
    <t>Devils Lake - SW West Bay</t>
  </si>
  <si>
    <t>https://www.waterqualitydata.us/provider/STORET/21NDHDWQ_WQX/21NDHDWQ_WQX-384160/</t>
  </si>
  <si>
    <t>21NDHDWQ_WQX-385029</t>
  </si>
  <si>
    <t>Pelican Lake - Deepest</t>
  </si>
  <si>
    <t>https://www.waterqualitydata.us/provider/STORET/21NDHDWQ_WQX/21NDHDWQ_WQX-385029/</t>
  </si>
  <si>
    <t>COEOMAHA_WQX-GARLK1390A</t>
  </si>
  <si>
    <t>GARLK1390A</t>
  </si>
  <si>
    <t>https://www.waterqualitydata.us/provider/STORET/COEOMAHA_WQX/COEOMAHA_WQX-GARLK1390A/</t>
  </si>
  <si>
    <t>COEOMAHA_WQX-GARLK1412DW</t>
  </si>
  <si>
    <t>GARLK1412DW</t>
  </si>
  <si>
    <t>https://www.waterqualitydata.us/provider/STORET/COEOMAHA_WQX/COEOMAHA_WQX-GARLK1412DW/</t>
  </si>
  <si>
    <t>COEOMAHA_WQX-GARLK1445DW</t>
  </si>
  <si>
    <t>GARLK1445DW</t>
  </si>
  <si>
    <t>https://www.waterqualitydata.us/provider/STORET/COEOMAHA_WQX/COEOMAHA_WQX-GARLK1445DW/</t>
  </si>
  <si>
    <t>COEOMAHA_WQX-GARLK1481DW</t>
  </si>
  <si>
    <t>GARLK1481DW</t>
  </si>
  <si>
    <t>https://www.waterqualitydata.us/provider/STORET/COEOMAHA_WQX/COEOMAHA_WQX-GARLK1481DW/</t>
  </si>
  <si>
    <t>COEOMAHA_WQX-GARLK1512DW</t>
  </si>
  <si>
    <t>GARLK1512DW</t>
  </si>
  <si>
    <t>https://www.waterqualitydata.us/provider/STORET/COEOMAHA_WQX/COEOMAHA_WQX-GARLK1512DW/</t>
  </si>
  <si>
    <t>COEOMAHA_WQX-OAHLK1256DW</t>
  </si>
  <si>
    <t>OAHLK1256DW</t>
  </si>
  <si>
    <t>https://www.waterqualitydata.us/provider/STORET/COEOMAHA_WQX/COEOMAHA_WQX-OAHLK1256DW/</t>
  </si>
  <si>
    <t>Emmons County</t>
  </si>
  <si>
    <t>Lake Oahe</t>
  </si>
  <si>
    <t>SPIRITLK</t>
  </si>
  <si>
    <t>Spirit Lake Tribal EPA Programs</t>
  </si>
  <si>
    <t>SPIRITLK-475719098480900</t>
  </si>
  <si>
    <t>BLACK TIGER BAY</t>
  </si>
  <si>
    <t>https://www.waterqualitydata.us/provider/STORET/SPIRITLK/SPIRITLK-475719098480900/</t>
  </si>
  <si>
    <t>SPIRITLK-480106098595500</t>
  </si>
  <si>
    <t>WEST BAY FORT TOTTEN</t>
  </si>
  <si>
    <t>https://www.waterqualitydata.us/provider/STORET/SPIRITLK/SPIRITLK-480106098595500/</t>
  </si>
  <si>
    <t>SPIRITLK-480112098545200</t>
  </si>
  <si>
    <t>WEST BAY CASINO</t>
  </si>
  <si>
    <t>https://www.waterqualitydata.us/provider/STORET/SPIRITLK/SPIRITLK-480112098545200/</t>
  </si>
  <si>
    <t>USGS-OH</t>
  </si>
  <si>
    <t>USGS Ohio Water Science Center</t>
  </si>
  <si>
    <t>USGS-415430080462903</t>
  </si>
  <si>
    <t>LAKE ERIE AT LAKESHORE, CENTRAL BEACH 3FT</t>
  </si>
  <si>
    <t>https://www.waterqualitydata.us/provider/NWIS/USGS-OH/USGS-415430080462903/</t>
  </si>
  <si>
    <t>Ohio</t>
  </si>
  <si>
    <t>Ashtabula County</t>
  </si>
  <si>
    <t>Lake Erie</t>
  </si>
  <si>
    <t>EPA_GLNPO-ER32</t>
  </si>
  <si>
    <t>ER32</t>
  </si>
  <si>
    <t>https://www.waterqualitydata.us/provider/STORET/EPA_GLNPO/EPA_GLNPO-ER32/</t>
  </si>
  <si>
    <t>EPA_GLNPO-ER36</t>
  </si>
  <si>
    <t>ER36</t>
  </si>
  <si>
    <t>https://www.waterqualitydata.us/provider/STORET/EPA_GLNPO/EPA_GLNPO-ER36/</t>
  </si>
  <si>
    <t>EPA_GLNPO-ER43</t>
  </si>
  <si>
    <t>ER43</t>
  </si>
  <si>
    <t>https://www.waterqualitydata.us/provider/STORET/EPA_GLNPO/EPA_GLNPO-ER43/</t>
  </si>
  <si>
    <t>Cuyahoga County</t>
  </si>
  <si>
    <t>EPA_GLNPO-ER58</t>
  </si>
  <si>
    <t>ER58</t>
  </si>
  <si>
    <t>https://www.waterqualitydata.us/provider/STORET/EPA_GLNPO/EPA_GLNPO-ER58/</t>
  </si>
  <si>
    <t>EPA_GLNPO-ER59</t>
  </si>
  <si>
    <t>ER59</t>
  </si>
  <si>
    <t>https://www.waterqualitydata.us/provider/STORET/EPA_GLNPO/EPA_GLNPO-ER59/</t>
  </si>
  <si>
    <t>Lucas County</t>
  </si>
  <si>
    <t>EPA_GLNPO-ER60</t>
  </si>
  <si>
    <t>ER60</t>
  </si>
  <si>
    <t>https://www.waterqualitydata.us/provider/STORET/EPA_GLNPO/EPA_GLNPO-ER60/</t>
  </si>
  <si>
    <t>EPA_GLNPO-ER73</t>
  </si>
  <si>
    <t>ER73</t>
  </si>
  <si>
    <t>https://www.waterqualitydata.us/provider/STORET/EPA_GLNPO/EPA_GLNPO-ER73/</t>
  </si>
  <si>
    <t>EPA_GLNPO-ER78M</t>
  </si>
  <si>
    <t>ER78M</t>
  </si>
  <si>
    <t>https://www.waterqualitydata.us/provider/STORET/EPA_GLNPO/EPA_GLNPO-ER78M/</t>
  </si>
  <si>
    <t>USGS-OR</t>
  </si>
  <si>
    <t>USGS Oregon Water Science Center</t>
  </si>
  <si>
    <t>USGS-421830121512600</t>
  </si>
  <si>
    <t>UPPER KLAMATH LAKE NEAR BUCK ISLAND, OR</t>
  </si>
  <si>
    <t>https://www.waterqualitydata.us/provider/NWIS/USGS-OR/USGS-421830121512600/</t>
  </si>
  <si>
    <t>Oregon</t>
  </si>
  <si>
    <t>Klamath County</t>
  </si>
  <si>
    <t>Upper Klamath Lake</t>
  </si>
  <si>
    <t>USGS-421933121550000</t>
  </si>
  <si>
    <t>HOWARD BAY  - HDB</t>
  </si>
  <si>
    <t>https://www.waterqualitydata.us/provider/NWIS/USGS-OR/USGS-421933121550000/</t>
  </si>
  <si>
    <t>USGS-421935121551200</t>
  </si>
  <si>
    <t>UPPER KLAMATH LAKE AT HOWARD BAY, OR</t>
  </si>
  <si>
    <t>https://www.waterqualitydata.us/provider/NWIS/USGS-OR/USGS-421935121551200/</t>
  </si>
  <si>
    <t>USGS-422042121513100</t>
  </si>
  <si>
    <t>RATTLESNAKE POINT  -  RPT</t>
  </si>
  <si>
    <t>https://www.waterqualitydata.us/provider/NWIS/USGS-OR/USGS-422042121513100/</t>
  </si>
  <si>
    <t>USGS-422305121553800</t>
  </si>
  <si>
    <t>MID-TRENCH - LOWER   -  MDTL</t>
  </si>
  <si>
    <t>https://www.waterqualitydata.us/provider/NWIS/USGS-OR/USGS-422305121553800/</t>
  </si>
  <si>
    <t>USGS-422444121580400</t>
  </si>
  <si>
    <t>SHOALWATER BAY - SHB</t>
  </si>
  <si>
    <t>https://www.waterqualitydata.us/provider/NWIS/USGS-OR/USGS-422444121580400/</t>
  </si>
  <si>
    <t>USGS-422500121581800</t>
  </si>
  <si>
    <t>UKL08-03</t>
  </si>
  <si>
    <t>https://www.waterqualitydata.us/provider/NWIS/USGS-OR/USGS-422500121581800/</t>
  </si>
  <si>
    <t>USGS-422559121574400</t>
  </si>
  <si>
    <t>EAGLE POINT - LOWER  - EPT</t>
  </si>
  <si>
    <t>https://www.waterqualitydata.us/provider/NWIS/USGS-OR/USGS-422559121574400/</t>
  </si>
  <si>
    <t>USGS-422622122004000</t>
  </si>
  <si>
    <t>MID-NORTH - LOWER  - MDNL</t>
  </si>
  <si>
    <t>https://www.waterqualitydata.us/provider/NWIS/USGS-OR/USGS-422622122004000/</t>
  </si>
  <si>
    <t>USGS-422719121571400</t>
  </si>
  <si>
    <t>WILLIAMSON RIVER OUTLET - WMR</t>
  </si>
  <si>
    <t>https://www.waterqualitydata.us/provider/NWIS/USGS-OR/USGS-422719121571400/</t>
  </si>
  <si>
    <t>USGS-422840122030200</t>
  </si>
  <si>
    <t>UKL05-03</t>
  </si>
  <si>
    <t>https://www.waterqualitydata.us/provider/NWIS/USGS-OR/USGS-422840122030200/</t>
  </si>
  <si>
    <t>USGS-431745118462300</t>
  </si>
  <si>
    <t>MALHEUR LAKE - MAL-SE 2</t>
  </si>
  <si>
    <t>https://www.waterqualitydata.us/provider/NWIS/USGS-OR/USGS-431745118462300/</t>
  </si>
  <si>
    <t>Harney County</t>
  </si>
  <si>
    <t>Malheur Lake</t>
  </si>
  <si>
    <t>USGS-432004118453400</t>
  </si>
  <si>
    <t>MALHEUR LAKE - MAL-NE</t>
  </si>
  <si>
    <t>https://www.waterqualitydata.us/provider/NWIS/USGS-OR/USGS-432004118453400/</t>
  </si>
  <si>
    <t>CEDEN-KL0002</t>
  </si>
  <si>
    <t>Upper Klamath Lake at Pelican Marina-KL0002</t>
  </si>
  <si>
    <t>https://www.waterqualitydata.us/provider/STORET/CEDEN/CEDEN-KL0002/</t>
  </si>
  <si>
    <t>CEDEN-KL0003</t>
  </si>
  <si>
    <t>Upper Klamath Lake at North Buck Island-KL0003</t>
  </si>
  <si>
    <t>https://www.waterqualitydata.us/provider/STORET/CEDEN/CEDEN-KL0003/</t>
  </si>
  <si>
    <t>CEDEN-KL0004</t>
  </si>
  <si>
    <t>Upper Klamath Lake at Wocus Bay-KL0004</t>
  </si>
  <si>
    <t>https://www.waterqualitydata.us/provider/STORET/CEDEN/CEDEN-KL0004/</t>
  </si>
  <si>
    <t>CEDEN-KL0005</t>
  </si>
  <si>
    <t>Upper Klamath Lake at Mid Lake-KL0005</t>
  </si>
  <si>
    <t>https://www.waterqualitydata.us/provider/STORET/CEDEN/CEDEN-KL0005/</t>
  </si>
  <si>
    <t>CEDEN-KL0006</t>
  </si>
  <si>
    <t>Upper Klamath Lake at Eagle Ridge-KL0006</t>
  </si>
  <si>
    <t>https://www.waterqualitydata.us/provider/STORET/CEDEN/CEDEN-KL0006/</t>
  </si>
  <si>
    <t>CEDEN-KL0007</t>
  </si>
  <si>
    <t>Upper Klamath Lake at Shoalwater Bay-KL0007</t>
  </si>
  <si>
    <t>https://www.waterqualitydata.us/provider/STORET/CEDEN/CEDEN-KL0007/</t>
  </si>
  <si>
    <t>CEDEN-KL0008</t>
  </si>
  <si>
    <t>Upper Klamath Lake at Mid North-KL0008</t>
  </si>
  <si>
    <t>https://www.waterqualitydata.us/provider/STORET/CEDEN/CEDEN-KL0008/</t>
  </si>
  <si>
    <t>CEDEN-KL0009</t>
  </si>
  <si>
    <t>Upper Klamath Lake at Coon Point-KL0009</t>
  </si>
  <si>
    <t>https://www.waterqualitydata.us/provider/STORET/CEDEN/CEDEN-KL0009/</t>
  </si>
  <si>
    <t>KLAMATHTRIBES_WQX</t>
  </si>
  <si>
    <t>Klamath Tribes (Tribal)</t>
  </si>
  <si>
    <t>KLAMATHTRIBES_WQX-KL0002</t>
  </si>
  <si>
    <t>UPPER KLAMATH LAKE AT PELICAN MARINA</t>
  </si>
  <si>
    <t>https://www.waterqualitydata.us/provider/STORET/KLAMATHTRIBES_WQX/KLAMATHTRIBES_WQX-KL0002/</t>
  </si>
  <si>
    <t>KLAMATHTRIBES_WQX-KL0003</t>
  </si>
  <si>
    <t>UPPER KLAMATH LAKE AT NORTH BUCK ISLAND</t>
  </si>
  <si>
    <t>https://www.waterqualitydata.us/provider/STORET/KLAMATHTRIBES_WQX/KLAMATHTRIBES_WQX-KL0003/</t>
  </si>
  <si>
    <t>KLAMATHTRIBES_WQX-KL0004</t>
  </si>
  <si>
    <t>UPPER KLAMATH LAKE AT WOCUS BAY</t>
  </si>
  <si>
    <t>https://www.waterqualitydata.us/provider/STORET/KLAMATHTRIBES_WQX/KLAMATHTRIBES_WQX-KL0004/</t>
  </si>
  <si>
    <t>KLAMATHTRIBES_WQX-KL0005</t>
  </si>
  <si>
    <t>UPPER KLAMATH LAKE AT MID-LAKE</t>
  </si>
  <si>
    <t>https://www.waterqualitydata.us/provider/STORET/KLAMATHTRIBES_WQX/KLAMATHTRIBES_WQX-KL0005/</t>
  </si>
  <si>
    <t>KLAMATHTRIBES_WQX-KL0006</t>
  </si>
  <si>
    <t>UPPER KLAMATH LAKE AT EAGLE RIDGE</t>
  </si>
  <si>
    <t>https://www.waterqualitydata.us/provider/STORET/KLAMATHTRIBES_WQX/KLAMATHTRIBES_WQX-KL0006/</t>
  </si>
  <si>
    <t>KLAMATHTRIBES_WQX-KL0007</t>
  </si>
  <si>
    <t>UPPER KLAMATH LAKE AT SHOAL WATER BAY</t>
  </si>
  <si>
    <t>https://www.waterqualitydata.us/provider/STORET/KLAMATHTRIBES_WQX/KLAMATHTRIBES_WQX-KL0007/</t>
  </si>
  <si>
    <t>KLAMATHTRIBES_WQX-KL0008</t>
  </si>
  <si>
    <t>UPPER KLAMATH LAKE AT MID-LAKE NORTH</t>
  </si>
  <si>
    <t>https://www.waterqualitydata.us/provider/STORET/KLAMATHTRIBES_WQX/KLAMATHTRIBES_WQX-KL0008/</t>
  </si>
  <si>
    <t>KLAMATHTRIBES_WQX-KL0009</t>
  </si>
  <si>
    <t>UPPER KLAMATH LAKE AT COON POINT</t>
  </si>
  <si>
    <t>https://www.waterqualitydata.us/provider/STORET/KLAMATHTRIBES_WQX/KLAMATHTRIBES_WQX-KL0009/</t>
  </si>
  <si>
    <t>EPA_GLNPO-ER63</t>
  </si>
  <si>
    <t>ER63</t>
  </si>
  <si>
    <t>https://www.waterqualitydata.us/provider/STORET/EPA_GLNPO/EPA_GLNPO-ER63/</t>
  </si>
  <si>
    <t>Pennsylvania</t>
  </si>
  <si>
    <t>Erie County</t>
  </si>
  <si>
    <t>South Carolina</t>
  </si>
  <si>
    <t>21SCSANT</t>
  </si>
  <si>
    <t>Santee Cooper - South Carolina Public Service Authority</t>
  </si>
  <si>
    <t>21SCSANT-SC-005</t>
  </si>
  <si>
    <t>Upper Lake Marion near Pack's Landing</t>
  </si>
  <si>
    <t>https://www.waterqualitydata.us/provider/STORET/21SCSANT/21SCSANT-SC-005/</t>
  </si>
  <si>
    <t>Sumter County</t>
  </si>
  <si>
    <t>21SCSANT-SC-010</t>
  </si>
  <si>
    <t>Upper Lake Marion at Channel Marker 150</t>
  </si>
  <si>
    <t>https://www.waterqualitydata.us/provider/STORET/21SCSANT/21SCSANT-SC-010/</t>
  </si>
  <si>
    <t>21SCSANT-SC-012</t>
  </si>
  <si>
    <t>Upper Lake Marion @ Jack's Creek embayment</t>
  </si>
  <si>
    <t>https://www.waterqualitydata.us/provider/STORET/21SCSANT/21SCSANT-SC-012/</t>
  </si>
  <si>
    <t>Clarendon County</t>
  </si>
  <si>
    <t>21SCSANT-SC-015</t>
  </si>
  <si>
    <t>Upper Lake Marion at  I-95 / U.S. 301 bridges</t>
  </si>
  <si>
    <t>https://www.waterqualitydata.us/provider/STORET/21SCSANT/21SCSANT-SC-015/</t>
  </si>
  <si>
    <t>21SCSANT-SC-016</t>
  </si>
  <si>
    <t>Mid Lake Marion at Channel Marker 69</t>
  </si>
  <si>
    <t>https://www.waterqualitydata.us/provider/STORET/21SCSANT/21SCSANT-SC-016/</t>
  </si>
  <si>
    <t>21SCSANT-SC-017</t>
  </si>
  <si>
    <t>Mid Lake Marion @ Taw Caw Creek embayment</t>
  </si>
  <si>
    <t>https://www.waterqualitydata.us/provider/STORET/21SCSANT/21SCSANT-SC-017/</t>
  </si>
  <si>
    <t>21SCSANT-SC-019</t>
  </si>
  <si>
    <t>Lower Lake Marion @ Potato Creek flooded embayment</t>
  </si>
  <si>
    <t>https://www.waterqualitydata.us/provider/STORET/21SCSANT/21SCSANT-SC-019/</t>
  </si>
  <si>
    <t>21SCSANT-SC-021</t>
  </si>
  <si>
    <t>Lower Lake Marion, 1.5 KM NE of Rock's Pond Campground</t>
  </si>
  <si>
    <t>https://www.waterqualitydata.us/provider/STORET/21SCSANT/21SCSANT-SC-021/</t>
  </si>
  <si>
    <t>Orangeburg County</t>
  </si>
  <si>
    <t>21SCSANT-SC-022</t>
  </si>
  <si>
    <t>Lower Lake Marion @ Old Santee River Channel Marker 44</t>
  </si>
  <si>
    <t>https://www.waterqualitydata.us/provider/STORET/21SCSANT/21SCSANT-SC-022/</t>
  </si>
  <si>
    <t>Berkeley County</t>
  </si>
  <si>
    <t>21SCSANT-SC-023A</t>
  </si>
  <si>
    <t>Lower Lake Marion @ Lower Wyboo Creek flooded embayment</t>
  </si>
  <si>
    <t>https://www.waterqualitydata.us/provider/STORET/21SCSANT/21SCSANT-SC-023A/</t>
  </si>
  <si>
    <t>21SCSANT-SC-027</t>
  </si>
  <si>
    <t>SW quadrant of Lake Moultrie 1.2 KM east of shoreline</t>
  </si>
  <si>
    <t>https://www.waterqualitydata.us/provider/STORET/21SCSANT/21SCSANT-SC-027/</t>
  </si>
  <si>
    <t>Lake Moultrie</t>
  </si>
  <si>
    <t>21SCSANT-SC-028</t>
  </si>
  <si>
    <t>NW quadrant of Lake Moultrie near Angel's Landing cove</t>
  </si>
  <si>
    <t>https://www.waterqualitydata.us/provider/STORET/21SCSANT/21SCSANT-SC-028/</t>
  </si>
  <si>
    <t>21SCSANT-SC-030</t>
  </si>
  <si>
    <t>Mid Lake Moultrie at Channel Marker 17</t>
  </si>
  <si>
    <t>https://www.waterqualitydata.us/provider/STORET/21SCSANT/21SCSANT-SC-030/</t>
  </si>
  <si>
    <t>21SCSANT-SC-031</t>
  </si>
  <si>
    <t>North quadrant of Lake Moultrie @ mouth of Rediversion Canal</t>
  </si>
  <si>
    <t>https://www.waterqualitydata.us/provider/STORET/21SCSANT/21SCSANT-SC-031/</t>
  </si>
  <si>
    <t>21SCSANT-SC-032</t>
  </si>
  <si>
    <t>SE quadrant of Lake Moultrie @ Channel Marker 2</t>
  </si>
  <si>
    <t>https://www.waterqualitydata.us/provider/STORET/21SCSANT/21SCSANT-SC-032/</t>
  </si>
  <si>
    <t>21SCSANT-SC-035</t>
  </si>
  <si>
    <t>Lower Lake Marion @ the mouth of Wyboo Creek</t>
  </si>
  <si>
    <t>https://www.waterqualitydata.us/provider/STORET/21SCSANT/21SCSANT-SC-035/</t>
  </si>
  <si>
    <t>21SCSANT-SC-036</t>
  </si>
  <si>
    <t>Mid Lake Marion @ the mouth of Taw Caw Creek</t>
  </si>
  <si>
    <t>https://www.waterqualitydata.us/provider/STORET/21SCSANT/21SCSANT-SC-036/</t>
  </si>
  <si>
    <t>21SCSANT-SC-038</t>
  </si>
  <si>
    <t>Upper Lake Marion @ the mouth of Halfway Swamp Creek</t>
  </si>
  <si>
    <t>https://www.waterqualitydata.us/provider/STORET/21SCSANT/21SCSANT-SC-038/</t>
  </si>
  <si>
    <t>21SCSANT-SC-039</t>
  </si>
  <si>
    <t>Upper Lake Marion 2.0 KM below Rimini railroad  trestle</t>
  </si>
  <si>
    <t>https://www.waterqualitydata.us/provider/STORET/21SCSANT/21SCSANT-SC-039/</t>
  </si>
  <si>
    <t>21SCSANT-SC-040</t>
  </si>
  <si>
    <t>Mid Lake Marion @ Channel Marker 79</t>
  </si>
  <si>
    <t>https://www.waterqualitydata.us/provider/STORET/21SCSANT/21SCSANT-SC-040/</t>
  </si>
  <si>
    <t>21SCSANT-SC-041</t>
  </si>
  <si>
    <t>Mid Lake Marion 3.2 KM north of Channel Marker 79</t>
  </si>
  <si>
    <t>https://www.waterqualitydata.us/provider/STORET/21SCSANT/21SCSANT-SC-041/</t>
  </si>
  <si>
    <t>21SCSANT-SC-042</t>
  </si>
  <si>
    <t>Mid Lake Marion @ north end of  I-95 / U.S. 301 bridges</t>
  </si>
  <si>
    <t>https://www.waterqualitydata.us/provider/STORET/21SCSANT/21SCSANT-SC-042/</t>
  </si>
  <si>
    <t>21SCSANT-SC-044</t>
  </si>
  <si>
    <t>Upper Lake Marion 0.5 KM NE of Stump Hole public landing</t>
  </si>
  <si>
    <t>https://www.waterqualitydata.us/provider/STORET/21SCSANT/21SCSANT-SC-044/</t>
  </si>
  <si>
    <t>21SCSANT-SC-046</t>
  </si>
  <si>
    <t>SE quadrant of Lake Moultrie at Pinopolis embayment</t>
  </si>
  <si>
    <t>https://www.waterqualitydata.us/provider/STORET/21SCSANT/21SCSANT-SC-046/</t>
  </si>
  <si>
    <t>21SCSANT_WQX</t>
  </si>
  <si>
    <t>21SCSANT_WQX-SC-005</t>
  </si>
  <si>
    <t>https://www.waterqualitydata.us/provider/STORET/21SCSANT_WQX/21SCSANT_WQX-SC-005/</t>
  </si>
  <si>
    <t>21SCSANT_WQX-SC-010</t>
  </si>
  <si>
    <t>Upper Lake Marion @ Channel Marker 150</t>
  </si>
  <si>
    <t>https://www.waterqualitydata.us/provider/STORET/21SCSANT_WQX/21SCSANT_WQX-SC-010/</t>
  </si>
  <si>
    <t>21SCSANT_WQX-SC-012</t>
  </si>
  <si>
    <t>Upper Lake Marion @ Jack's Creek Embayment</t>
  </si>
  <si>
    <t>https://www.waterqualitydata.us/provider/STORET/21SCSANT_WQX/21SCSANT_WQX-SC-012/</t>
  </si>
  <si>
    <t>21SCSANT_WQX-SC-015</t>
  </si>
  <si>
    <t>Upper Lake Marion @ S End of I-95 / U.S. 301 Bridges</t>
  </si>
  <si>
    <t>https://www.waterqualitydata.us/provider/STORET/21SCSANT_WQX/21SCSANT_WQX-SC-015/</t>
  </si>
  <si>
    <t>21SCSANT_WQX-SC-016</t>
  </si>
  <si>
    <t>Mid Lake Marion @ Channel Marker 69</t>
  </si>
  <si>
    <t>https://www.waterqualitydata.us/provider/STORET/21SCSANT_WQX/21SCSANT_WQX-SC-016/</t>
  </si>
  <si>
    <t>21SCSANT_WQX-SC-017</t>
  </si>
  <si>
    <t>Mid Lake Marion @ Mid Taw Caw Embayment</t>
  </si>
  <si>
    <t>https://www.waterqualitydata.us/provider/STORET/21SCSANT_WQX/21SCSANT_WQX-SC-017/</t>
  </si>
  <si>
    <t>21SCSANT_WQX-SC-019</t>
  </si>
  <si>
    <t>Lower Lake Marion @ Potato Creek Flooded Embayment</t>
  </si>
  <si>
    <t>https://www.waterqualitydata.us/provider/STORET/21SCSANT_WQX/21SCSANT_WQX-SC-019/</t>
  </si>
  <si>
    <t>21SCSANT_WQX-SC-021</t>
  </si>
  <si>
    <t>Lower Lake Marion @ Rock's Pond Embayment</t>
  </si>
  <si>
    <t>https://www.waterqualitydata.us/provider/STORET/21SCSANT_WQX/21SCSANT_WQX-SC-021/</t>
  </si>
  <si>
    <t>21SCSANT_WQX-SC-022</t>
  </si>
  <si>
    <t>Lower Lake Marion @ Channel Marker 44</t>
  </si>
  <si>
    <t>https://www.waterqualitydata.us/provider/STORET/21SCSANT_WQX/21SCSANT_WQX-SC-022/</t>
  </si>
  <si>
    <t>21SCSANT_WQX-SC-023A</t>
  </si>
  <si>
    <t>Lower Lake Marion @ Mid Wyboo Creek Flooded Embayment</t>
  </si>
  <si>
    <t>https://www.waterqualitydata.us/provider/STORET/21SCSANT_WQX/21SCSANT_WQX-SC-023A/</t>
  </si>
  <si>
    <t>21SCSANT_WQX-SC-027</t>
  </si>
  <si>
    <t>SW Quadrant of Lake Moultrie 1.2 KM E of Shoreline</t>
  </si>
  <si>
    <t>https://www.waterqualitydata.us/provider/STORET/21SCSANT_WQX/21SCSANT_WQX-SC-027/</t>
  </si>
  <si>
    <t>21SCSANT_WQX-SC-028</t>
  </si>
  <si>
    <t>NW Quadrant of Lake Moultrie Near Angel's Landing Cove</t>
  </si>
  <si>
    <t>https://www.waterqualitydata.us/provider/STORET/21SCSANT_WQX/21SCSANT_WQX-SC-028/</t>
  </si>
  <si>
    <t>21SCSANT_WQX-SC-030</t>
  </si>
  <si>
    <t>Mid Lake Moultrie @ Channel Marker 17</t>
  </si>
  <si>
    <t>https://www.waterqualitydata.us/provider/STORET/21SCSANT_WQX/21SCSANT_WQX-SC-030/</t>
  </si>
  <si>
    <t>21SCSANT_WQX-SC-031</t>
  </si>
  <si>
    <t>North Quadrant of Lake Moultrie @ Mouth of Diversion Canal</t>
  </si>
  <si>
    <t>https://www.waterqualitydata.us/provider/STORET/21SCSANT_WQX/21SCSANT_WQX-SC-031/</t>
  </si>
  <si>
    <t>21SCSANT_WQX-SC-032</t>
  </si>
  <si>
    <t>SE Quadrant of Lake Moultrie @ Channel Marker 2</t>
  </si>
  <si>
    <t>https://www.waterqualitydata.us/provider/STORET/21SCSANT_WQX/21SCSANT_WQX-SC-032/</t>
  </si>
  <si>
    <t>21SCSANT_WQX-SC-038</t>
  </si>
  <si>
    <t>Upper Lake Marion @ Mouth of Halfway Swamp Creek</t>
  </si>
  <si>
    <t>https://www.waterqualitydata.us/provider/STORET/21SCSANT_WQX/21SCSANT_WQX-SC-038/</t>
  </si>
  <si>
    <t>21SCSANT_WQX-SC-039</t>
  </si>
  <si>
    <t>Upper Lake Marion 2.0 KM below Rimini RR Trestle</t>
  </si>
  <si>
    <t>https://www.waterqualitydata.us/provider/STORET/21SCSANT_WQX/21SCSANT_WQX-SC-039/</t>
  </si>
  <si>
    <t>21SCSANT_WQX-SC-040</t>
  </si>
  <si>
    <t>https://www.waterqualitydata.us/provider/STORET/21SCSANT_WQX/21SCSANT_WQX-SC-040/</t>
  </si>
  <si>
    <t>21SCSANT_WQX-SC-046</t>
  </si>
  <si>
    <t>SE Quadrant of Lake Moultrie @ Pinopolis Embayment</t>
  </si>
  <si>
    <t>https://www.waterqualitydata.us/provider/STORET/21SCSANT_WQX/21SCSANT_WQX-SC-046/</t>
  </si>
  <si>
    <t>COEOMAHA_WQX-BBDLK0987A</t>
  </si>
  <si>
    <t>BBDLK0987A</t>
  </si>
  <si>
    <t>https://www.waterqualitydata.us/provider/STORET/COEOMAHA_WQX/COEOMAHA_WQX-BBDLK0987A/</t>
  </si>
  <si>
    <t>South Dakota</t>
  </si>
  <si>
    <t>Lyman County</t>
  </si>
  <si>
    <t>Lake Sharpe</t>
  </si>
  <si>
    <t>COEOMAHA_WQX-BBDLK1020DW</t>
  </si>
  <si>
    <t>BBDLK1020DW</t>
  </si>
  <si>
    <t>https://www.waterqualitydata.us/provider/STORET/COEOMAHA_WQX/COEOMAHA_WQX-BBDLK1020DW/</t>
  </si>
  <si>
    <t>COEOMAHA_WQX-BBDLK1055DW</t>
  </si>
  <si>
    <t>BBDLK1055DW</t>
  </si>
  <si>
    <t>https://www.waterqualitydata.us/provider/STORET/COEOMAHA_WQX/COEOMAHA_WQX-BBDLK1055DW/</t>
  </si>
  <si>
    <t>Stanley County</t>
  </si>
  <si>
    <t>COEOMAHA_WQX-FTRLK0880A</t>
  </si>
  <si>
    <t>FTRLK0880A</t>
  </si>
  <si>
    <t>https://www.waterqualitydata.us/provider/STORET/COEOMAHA_WQX/COEOMAHA_WQX-FTRLK0880A/</t>
  </si>
  <si>
    <t>Charles Mix County</t>
  </si>
  <si>
    <t>Lake Francis Case</t>
  </si>
  <si>
    <t>COEOMAHA_WQX-FTRLK0911DW</t>
  </si>
  <si>
    <t>FTRLK0911DW</t>
  </si>
  <si>
    <t>https://www.waterqualitydata.us/provider/STORET/COEOMAHA_WQX/COEOMAHA_WQX-FTRLK0911DW/</t>
  </si>
  <si>
    <t>Gregory County</t>
  </si>
  <si>
    <t>COEOMAHA_WQX-FTRLK0940DW</t>
  </si>
  <si>
    <t>FTRLK0940DW</t>
  </si>
  <si>
    <t>https://www.waterqualitydata.us/provider/STORET/COEOMAHA_WQX/COEOMAHA_WQX-FTRLK0940DW/</t>
  </si>
  <si>
    <t>Brule County</t>
  </si>
  <si>
    <t>COEOMAHA_WQX-FTRLK0968DW</t>
  </si>
  <si>
    <t>FTRLK0968DW</t>
  </si>
  <si>
    <t>https://www.waterqualitydata.us/provider/STORET/COEOMAHA_WQX/COEOMAHA_WQX-FTRLK0968DW/</t>
  </si>
  <si>
    <t>COEOMAHA_WQX-GPTLK0811A</t>
  </si>
  <si>
    <t>GPTLK0811A</t>
  </si>
  <si>
    <t>https://www.waterqualitydata.us/provider/STORET/COEOMAHA_WQX/COEOMAHA_WQX-GPTLK0811A/</t>
  </si>
  <si>
    <t>Yankton County</t>
  </si>
  <si>
    <t>COEOMAHA_WQX-GPTLK0819DW</t>
  </si>
  <si>
    <t>GPTLK0819DW</t>
  </si>
  <si>
    <t>https://www.waterqualitydata.us/provider/STORET/COEOMAHA_WQX/COEOMAHA_WQX-GPTLK0819DW/</t>
  </si>
  <si>
    <t>Bon Homme County</t>
  </si>
  <si>
    <t>COEOMAHA_WQX-OAHLK1073A</t>
  </si>
  <si>
    <t>OAHLK1073A</t>
  </si>
  <si>
    <t>https://www.waterqualitydata.us/provider/STORET/COEOMAHA_WQX/COEOMAHA_WQX-OAHLK1073A/</t>
  </si>
  <si>
    <t>Hughes County</t>
  </si>
  <si>
    <t>COEOMAHA_WQX-OAHLK1110DW</t>
  </si>
  <si>
    <t>OAHLK1110DW</t>
  </si>
  <si>
    <t>https://www.waterqualitydata.us/provider/STORET/COEOMAHA_WQX/COEOMAHA_WQX-OAHLK1110DW/</t>
  </si>
  <si>
    <t>Sully County</t>
  </si>
  <si>
    <t>COEOMAHA_WQX-OAHLK1153DW</t>
  </si>
  <si>
    <t>OAHLK1153DW</t>
  </si>
  <si>
    <t>https://www.waterqualitydata.us/provider/STORET/COEOMAHA_WQX/COEOMAHA_WQX-OAHLK1153DW/</t>
  </si>
  <si>
    <t>Dewey County</t>
  </si>
  <si>
    <t>COEOMAHA_WQX-OAHLK1196DW</t>
  </si>
  <si>
    <t>OAHLK1196DW</t>
  </si>
  <si>
    <t>https://www.waterqualitydata.us/provider/STORET/COEOMAHA_WQX/COEOMAHA_WQX-OAHLK1196DW/</t>
  </si>
  <si>
    <t>Walworth County</t>
  </si>
  <si>
    <t>Texas</t>
  </si>
  <si>
    <t>TCEQMAIN</t>
  </si>
  <si>
    <t>Texas Commission on Environmental Quality</t>
  </si>
  <si>
    <t>TCEQMAIN-10130</t>
  </si>
  <si>
    <t>LAKE TEXOMA BIG MINERAL ARM</t>
  </si>
  <si>
    <t>https://www.waterqualitydata.us/provider/STORET/TCEQMAIN/TCEQMAIN-10130/</t>
  </si>
  <si>
    <t>Grayson County</t>
  </si>
  <si>
    <t>Lake Texoma</t>
  </si>
  <si>
    <t>TCEQMAIN-10131</t>
  </si>
  <si>
    <t>LAKE TEXOMA AT US 377</t>
  </si>
  <si>
    <t>https://www.waterqualitydata.us/provider/STORET/TCEQMAIN/TCEQMAIN-10131/</t>
  </si>
  <si>
    <t>TCEQMAIN-10213</t>
  </si>
  <si>
    <t>WRIGHT PATMAN LAKE NEAR DAM</t>
  </si>
  <si>
    <t>https://www.waterqualitydata.us/provider/STORET/TCEQMAIN/TCEQMAIN-10213/</t>
  </si>
  <si>
    <t>Wright Patman Lake</t>
  </si>
  <si>
    <t>TCEQMAIN-10283</t>
  </si>
  <si>
    <t>CADDO LAKE MID LAKE CAMS707</t>
  </si>
  <si>
    <t>https://www.waterqualitydata.us/provider/STORET/TCEQMAIN/TCEQMAIN-10283/</t>
  </si>
  <si>
    <t>Caddo Lake</t>
  </si>
  <si>
    <t>Franklin County</t>
  </si>
  <si>
    <t>TCEQMAIN-10404</t>
  </si>
  <si>
    <t>TOLEDO BND RES AT OLD RIVER</t>
  </si>
  <si>
    <t>https://www.waterqualitydata.us/provider/STORET/TCEQMAIN/TCEQMAIN-10404/</t>
  </si>
  <si>
    <t>Newton County</t>
  </si>
  <si>
    <t>Toledo Bend Reservoir</t>
  </si>
  <si>
    <t>TCEQMAIN-10434</t>
  </si>
  <si>
    <t>LAKE TAWAKONI MID LAKE NR DAM</t>
  </si>
  <si>
    <t>https://www.waterqualitydata.us/provider/STORET/TCEQMAIN/TCEQMAIN-10434/</t>
  </si>
  <si>
    <t>Rains County</t>
  </si>
  <si>
    <t>Lake Tawakoni</t>
  </si>
  <si>
    <t>TCEQMAIN-10435</t>
  </si>
  <si>
    <t>LAKE TAWAKONI IN KITSEC INLET</t>
  </si>
  <si>
    <t>https://www.waterqualitydata.us/provider/STORET/TCEQMAIN/TCEQMAIN-10435/</t>
  </si>
  <si>
    <t>Hunt County</t>
  </si>
  <si>
    <t>TCEQMAIN-10437</t>
  </si>
  <si>
    <t>LAKE TAWAKONI AT SH 276</t>
  </si>
  <si>
    <t>https://www.waterqualitydata.us/provider/STORET/TCEQMAIN/TCEQMAIN-10437/</t>
  </si>
  <si>
    <t>TCEQMAIN-10612</t>
  </si>
  <si>
    <t>SAM RAYBURN RESERVOIR AT SH147</t>
  </si>
  <si>
    <t>https://www.waterqualitydata.us/provider/STORET/TCEQMAIN/TCEQMAIN-10612/</t>
  </si>
  <si>
    <t>San Augustine County</t>
  </si>
  <si>
    <t>Sam Rayburn Reservoir</t>
  </si>
  <si>
    <t>TCEQMAIN-10613</t>
  </si>
  <si>
    <t>SAM RAYBURN RESERVOIR AT SH103</t>
  </si>
  <si>
    <t>https://www.waterqualitydata.us/provider/STORET/TCEQMAIN/TCEQMAIN-10613/</t>
  </si>
  <si>
    <t>Angelina County</t>
  </si>
  <si>
    <t>TCEQMAIN-10614</t>
  </si>
  <si>
    <t>https://www.waterqualitydata.us/provider/STORET/TCEQMAIN/TCEQMAIN-10614/</t>
  </si>
  <si>
    <t>TCEQMAIN-10621</t>
  </si>
  <si>
    <t>SAM RAYBURN RESERV NEAR CONFL.</t>
  </si>
  <si>
    <t>https://www.waterqualitydata.us/provider/STORET/TCEQMAIN/TCEQMAIN-10621/</t>
  </si>
  <si>
    <t>Nacogdoches County</t>
  </si>
  <si>
    <t>TCEQMAIN-10899</t>
  </si>
  <si>
    <t>LK LIVINGSTON NEAR DAM</t>
  </si>
  <si>
    <t>https://www.waterqualitydata.us/provider/STORET/TCEQMAIN/TCEQMAIN-10899/</t>
  </si>
  <si>
    <t>San Jacinto County</t>
  </si>
  <si>
    <t>Lake Livingston</t>
  </si>
  <si>
    <t>TCEQMAIN-10913</t>
  </si>
  <si>
    <t>LK LIVINGSTON IN MAIN CHANNEL</t>
  </si>
  <si>
    <t>https://www.waterqualitydata.us/provider/STORET/TCEQMAIN/TCEQMAIN-10913/</t>
  </si>
  <si>
    <t>Navarro County</t>
  </si>
  <si>
    <t>TCEQMAIN-11068</t>
  </si>
  <si>
    <t>RICHLAND-CHAMBERS RESERVOIR</t>
  </si>
  <si>
    <t>https://www.waterqualitydata.us/provider/STORET/TCEQMAIN/TCEQMAIN-11068/</t>
  </si>
  <si>
    <t>Richland Chambers Reservoir</t>
  </si>
  <si>
    <t>TCEQMAIN-13189</t>
  </si>
  <si>
    <t>FALCON LAKE AT BM 1</t>
  </si>
  <si>
    <t>https://www.waterqualitydata.us/provider/STORET/TCEQMAIN/TCEQMAIN-13189/</t>
  </si>
  <si>
    <t>Zapata County</t>
  </si>
  <si>
    <t>MEX-USA</t>
  </si>
  <si>
    <t>Falcon Reservoir</t>
  </si>
  <si>
    <t>TCEQMAIN-13835</t>
  </si>
  <si>
    <t>AMISTAD RESERVOIR AT BUOY 1</t>
  </si>
  <si>
    <t>https://www.waterqualitydata.us/provider/STORET/TCEQMAIN/TCEQMAIN-13835/</t>
  </si>
  <si>
    <t>Val Verde County</t>
  </si>
  <si>
    <t>Amistad Reservoir</t>
  </si>
  <si>
    <t>TCEQMAIN-14039</t>
  </si>
  <si>
    <t>RAY ROBERTS LAKE SITE AC</t>
  </si>
  <si>
    <t>https://www.waterqualitydata.us/provider/STORET/TCEQMAIN/TCEQMAIN-14039/</t>
  </si>
  <si>
    <t>Denton County</t>
  </si>
  <si>
    <t>Lake Ray Roberts</t>
  </si>
  <si>
    <t>TCEQMAIN-14043</t>
  </si>
  <si>
    <t>RAY ROBERTS LAKE SITE DC</t>
  </si>
  <si>
    <t>https://www.waterqualitydata.us/provider/STORET/TCEQMAIN/TCEQMAIN-14043/</t>
  </si>
  <si>
    <t>TCEQMAIN-14044</t>
  </si>
  <si>
    <t>RAY ROBERTS LAKE SITE EC</t>
  </si>
  <si>
    <t>https://www.waterqualitydata.us/provider/STORET/TCEQMAIN/TCEQMAIN-14044/</t>
  </si>
  <si>
    <t>Cooke County</t>
  </si>
  <si>
    <t>TCEQMAIN-14097</t>
  </si>
  <si>
    <t>WRIGHT PATMAN LAKE SITE AC</t>
  </si>
  <si>
    <t>https://www.waterqualitydata.us/provider/STORET/TCEQMAIN/TCEQMAIN-14097/</t>
  </si>
  <si>
    <t>TCEQMAIN-14103</t>
  </si>
  <si>
    <t>WRIGHT PATMAN LAKE SITE EC</t>
  </si>
  <si>
    <t>https://www.waterqualitydata.us/provider/STORET/TCEQMAIN/TCEQMAIN-14103/</t>
  </si>
  <si>
    <t>TCEQMAIN-14906</t>
  </si>
  <si>
    <t>SAM RAYBURN RES AT MAIN POOL</t>
  </si>
  <si>
    <t>https://www.waterqualitydata.us/provider/STORET/TCEQMAIN/TCEQMAIN-14906/</t>
  </si>
  <si>
    <t>TCEQMAIN-15061</t>
  </si>
  <si>
    <t>WRIGHT PATMAN LAKE NEAR NORTH SHORE PARK</t>
  </si>
  <si>
    <t>https://www.waterqualitydata.us/provider/STORET/TCEQMAIN/TCEQMAIN-15061/</t>
  </si>
  <si>
    <t>Bowie County</t>
  </si>
  <si>
    <t>TCEQMAIN-15168</t>
  </si>
  <si>
    <t>https://www.waterqualitydata.us/provider/STORET/TCEQMAIN/TCEQMAIN-15168/</t>
  </si>
  <si>
    <t>Freestone County</t>
  </si>
  <si>
    <t>TCEQMAIN-15169</t>
  </si>
  <si>
    <t>https://www.waterqualitydata.us/provider/STORET/TCEQMAIN/TCEQMAIN-15169/</t>
  </si>
  <si>
    <t>TCEQMAIN-15170</t>
  </si>
  <si>
    <t>https://www.waterqualitydata.us/provider/STORET/TCEQMAIN/TCEQMAIN-15170/</t>
  </si>
  <si>
    <t>TCEQMAIN-15172</t>
  </si>
  <si>
    <t>https://www.waterqualitydata.us/provider/STORET/TCEQMAIN/TCEQMAIN-15172/</t>
  </si>
  <si>
    <t>TCEQMAIN-15199</t>
  </si>
  <si>
    <t>https://www.waterqualitydata.us/provider/STORET/TCEQMAIN/TCEQMAIN-15199/</t>
  </si>
  <si>
    <t>TCEQMAIN-15249</t>
  </si>
  <si>
    <t>CADDO LK DWIGHT SHELLMANS HOME</t>
  </si>
  <si>
    <t>https://www.waterqualitydata.us/provider/STORET/TCEQMAIN/TCEQMAIN-15249/</t>
  </si>
  <si>
    <t>Henderson County</t>
  </si>
  <si>
    <t>TCEQMAIN-15388</t>
  </si>
  <si>
    <t>LAKE TEXOMA-LITTLE MINERAL ARM</t>
  </si>
  <si>
    <t>https://www.waterqualitydata.us/provider/STORET/TCEQMAIN/TCEQMAIN-15388/</t>
  </si>
  <si>
    <t>TCEQMAIN-15523</t>
  </si>
  <si>
    <t>SAM RAYBURN NR ALLIGATOR COVE</t>
  </si>
  <si>
    <t>https://www.waterqualitydata.us/provider/STORET/TCEQMAIN/TCEQMAIN-15523/</t>
  </si>
  <si>
    <t>TCEQMAIN-15524</t>
  </si>
  <si>
    <t>SAM RAYBURN AT SHIRLEY CREEK</t>
  </si>
  <si>
    <t>https://www.waterqualitydata.us/provider/STORET/TCEQMAIN/TCEQMAIN-15524/</t>
  </si>
  <si>
    <t>TCEQMAIN-15893</t>
  </si>
  <si>
    <t>AMISTAD RESERV DEVILS R ARM</t>
  </si>
  <si>
    <t>https://www.waterqualitydata.us/provider/STORET/TCEQMAIN/TCEQMAIN-15893/</t>
  </si>
  <si>
    <t>TCEQMAIN-16205</t>
  </si>
  <si>
    <t>WRIGHT PATMAN LAKE AT ATLANTA</t>
  </si>
  <si>
    <t>https://www.waterqualitydata.us/provider/STORET/TCEQMAIN/TCEQMAIN-16205/</t>
  </si>
  <si>
    <t>TCEQMAIN-16747</t>
  </si>
  <si>
    <t>CEDAR CK RESERVOIR ASHBY LANE</t>
  </si>
  <si>
    <t>https://www.waterqualitydata.us/provider/STORET/TCEQMAIN/TCEQMAIN-16747/</t>
  </si>
  <si>
    <t>Cedar Creek Reservoir</t>
  </si>
  <si>
    <t>TCEQMAIN-16748</t>
  </si>
  <si>
    <t>CEDAR CK RES CANEY CREEK COVE</t>
  </si>
  <si>
    <t>https://www.waterqualitydata.us/provider/STORET/TCEQMAIN/TCEQMAIN-16748/</t>
  </si>
  <si>
    <t>TCEQMAIN-16749</t>
  </si>
  <si>
    <t>CEDAR CK RES CAROLYNN ROAD</t>
  </si>
  <si>
    <t>https://www.waterqualitydata.us/provider/STORET/TCEQMAIN/TCEQMAIN-16749/</t>
  </si>
  <si>
    <t>TCEQMAIN-16753</t>
  </si>
  <si>
    <t>CEDAR CREEK RESERV N OF SH 344</t>
  </si>
  <si>
    <t>https://www.waterqualitydata.us/provider/STORET/TCEQMAIN/TCEQMAIN-16753/</t>
  </si>
  <si>
    <t>TCEQMAIN-16772</t>
  </si>
  <si>
    <t>CEDAR CK RES NORTH END MIDLAKE</t>
  </si>
  <si>
    <t>https://www.waterqualitydata.us/provider/STORET/TCEQMAIN/TCEQMAIN-16772/</t>
  </si>
  <si>
    <t>Kaufman County</t>
  </si>
  <si>
    <t>TCEQMAIN-16860</t>
  </si>
  <si>
    <t>WRIGHT PATMAN LK IN BIG CREEK</t>
  </si>
  <si>
    <t>https://www.waterqualitydata.us/provider/STORET/TCEQMAIN/TCEQMAIN-16860/</t>
  </si>
  <si>
    <t>TCEQMAIN-17480</t>
  </si>
  <si>
    <t>LK TEXOMA LITTLE MINERAL ARM</t>
  </si>
  <si>
    <t>https://www.waterqualitydata.us/provider/STORET/TCEQMAIN/TCEQMAIN-17480/</t>
  </si>
  <si>
    <t>TCEQMAIN-20545</t>
  </si>
  <si>
    <t>LAKE TEXOMA 260 METERS DUE WEST FROM LAKE TEXOMA DAM</t>
  </si>
  <si>
    <t>https://www.waterqualitydata.us/provider/STORET/TCEQMAIN/TCEQMAIN-20545/</t>
  </si>
  <si>
    <t>TCEQMAIN-21427</t>
  </si>
  <si>
    <t>CEDAR CREEK RESERVOIR 1.07 KM EAST AND 40 METERS NORTH OF THE INNER CIRCLE UPPER CHANNEL</t>
  </si>
  <si>
    <t>https://www.waterqualitydata.us/provider/STORET/TCEQMAIN/TCEQMAIN-21427/</t>
  </si>
  <si>
    <t>TCEQMAIN-21562</t>
  </si>
  <si>
    <t>LAKE LIVINGSTON AT US 190 IN KICKAPOO CREEK BAY CHANNEL EAST OF ONALASKA TRA #12</t>
  </si>
  <si>
    <t>https://www.waterqualitydata.us/provider/STORET/TCEQMAIN/TCEQMAIN-21562/</t>
  </si>
  <si>
    <t>TCEQMAIN-21563</t>
  </si>
  <si>
    <t>LAKE LIVINGSTON MAIN BODY AT US 190 WEST OF ONALASKA</t>
  </si>
  <si>
    <t>https://www.waterqualitydata.us/provider/STORET/TCEQMAIN/TCEQMAIN-21563/</t>
  </si>
  <si>
    <t>USGS-UT</t>
  </si>
  <si>
    <t>USGS Utah Water Science Center</t>
  </si>
  <si>
    <t>USGS-405356112205601</t>
  </si>
  <si>
    <t>GSL 3510, 6 MI WEST OF ANTELOPE ISLAND</t>
  </si>
  <si>
    <t>https://www.waterqualitydata.us/provider/NWIS/USGS-UT/USGS-405356112205601/</t>
  </si>
  <si>
    <t>Utah</t>
  </si>
  <si>
    <t>Great Salt Lake</t>
  </si>
  <si>
    <t>USGS-410422112200001</t>
  </si>
  <si>
    <t>GSL 2767, 4 MI W OF N TIP OF ANTELOPE ISLAND</t>
  </si>
  <si>
    <t>https://www.waterqualitydata.us/provider/NWIS/USGS-UT/USGS-410422112200001/</t>
  </si>
  <si>
    <t>USGS-410644112382601</t>
  </si>
  <si>
    <t>GSL 2565, NW OF HAT ISLAND</t>
  </si>
  <si>
    <t>https://www.waterqualitydata.us/provider/NWIS/USGS-UT/USGS-410644112382601/</t>
  </si>
  <si>
    <t>Box Elder County</t>
  </si>
  <si>
    <t>USGS-411116112244401</t>
  </si>
  <si>
    <t>GSL 2267, 1 MI NW OF FREMONT ISLAND</t>
  </si>
  <si>
    <t>https://www.waterqualitydata.us/provider/NWIS/USGS-UT/USGS-411116112244401/</t>
  </si>
  <si>
    <t>Vermont</t>
  </si>
  <si>
    <t>Chittenden County</t>
  </si>
  <si>
    <t>1VTDECWQ-500421</t>
  </si>
  <si>
    <t>Northeast Arm - Lake Champlain</t>
  </si>
  <si>
    <t>https://www.waterqualitydata.us/provider/STORET/1VTDECWQ/1VTDECWQ-500421/</t>
  </si>
  <si>
    <t>1VTDECWQ-500449</t>
  </si>
  <si>
    <t>Port Henry Section - Lake Champlain</t>
  </si>
  <si>
    <t>https://www.waterqualitydata.us/provider/STORET/1VTDECWQ/1VTDECWQ-500449/</t>
  </si>
  <si>
    <t>Addison County</t>
  </si>
  <si>
    <t>1VTDECWQ-500451</t>
  </si>
  <si>
    <t>Otter Creek Section - Lake Champlain</t>
  </si>
  <si>
    <t>https://www.waterqualitydata.us/provider/STORET/1VTDECWQ/1VTDECWQ-500451/</t>
  </si>
  <si>
    <t>1VTDECWQ-500459</t>
  </si>
  <si>
    <t>Burlington Bay - Lake Champlain</t>
  </si>
  <si>
    <t>https://www.waterqualitydata.us/provider/STORET/1VTDECWQ/1VTDECWQ-500459/</t>
  </si>
  <si>
    <t>1VTDECWQ-500591</t>
  </si>
  <si>
    <t>https://www.waterqualitydata.us/provider/STORET/1VTDECWQ/1VTDECWQ-500591/</t>
  </si>
  <si>
    <t>Grand Isle County</t>
  </si>
  <si>
    <t>1VTDECWQ-500666</t>
  </si>
  <si>
    <t>https://www.waterqualitydata.us/provider/STORET/1VTDECWQ/1VTDECWQ-500666/</t>
  </si>
  <si>
    <t>1VTDECWQ-500670</t>
  </si>
  <si>
    <t>https://www.waterqualitydata.us/provider/STORET/1VTDECWQ/1VTDECWQ-500670/</t>
  </si>
  <si>
    <t>1VTDECWQ-501605</t>
  </si>
  <si>
    <t>https://www.waterqualitydata.us/provider/STORET/1VTDECWQ/1VTDECWQ-501605/</t>
  </si>
  <si>
    <t>1VTDECWQ-503409</t>
  </si>
  <si>
    <t>https://www.waterqualitydata.us/provider/STORET/1VTDECWQ/1VTDECWQ-503409/</t>
  </si>
  <si>
    <t>1VTDECWQ-503411</t>
  </si>
  <si>
    <t>https://www.waterqualitydata.us/provider/STORET/1VTDECWQ/1VTDECWQ-503411/</t>
  </si>
  <si>
    <t>1VTDECWQ-503415</t>
  </si>
  <si>
    <t>https://www.waterqualitydata.us/provider/STORET/1VTDECWQ/1VTDECWQ-503415/</t>
  </si>
  <si>
    <t>1VTDECWQ-503485</t>
  </si>
  <si>
    <t>https://www.waterqualitydata.us/provider/STORET/1VTDECWQ/1VTDECWQ-503485/</t>
  </si>
  <si>
    <t>1VTDECWQ-503488</t>
  </si>
  <si>
    <t>St. Albans Bay - Lake Champlain</t>
  </si>
  <si>
    <t>https://www.waterqualitydata.us/provider/STORET/1VTDECWQ/1VTDECWQ-503488/</t>
  </si>
  <si>
    <t>1VTDECWQ-503498</t>
  </si>
  <si>
    <t>Malletts Bay - Lake Champlain</t>
  </si>
  <si>
    <t>https://www.waterqualitydata.us/provider/STORET/1VTDECWQ/1VTDECWQ-503498/</t>
  </si>
  <si>
    <t>1VTDECWQ-503506</t>
  </si>
  <si>
    <t>Shelburne Bay - Lake Champlain</t>
  </si>
  <si>
    <t>https://www.waterqualitydata.us/provider/STORET/1VTDECWQ/1VTDECWQ-503506/</t>
  </si>
  <si>
    <t>1VTDECWQ-503515</t>
  </si>
  <si>
    <t>Missisquoi Bay - Lake Champlain</t>
  </si>
  <si>
    <t>https://www.waterqualitydata.us/provider/STORET/1VTDECWQ/1VTDECWQ-503515/</t>
  </si>
  <si>
    <t>1VTDECWQ-503519</t>
  </si>
  <si>
    <t>https://www.waterqualitydata.us/provider/STORET/1VTDECWQ/1VTDECWQ-503519/</t>
  </si>
  <si>
    <t>1VTDECWQ-503528</t>
  </si>
  <si>
    <t>https://www.waterqualitydata.us/provider/STORET/1VTDECWQ/1VTDECWQ-503528/</t>
  </si>
  <si>
    <t>1VTDECWQ-503530</t>
  </si>
  <si>
    <t>https://www.waterqualitydata.us/provider/STORET/1VTDECWQ/1VTDECWQ-503530/</t>
  </si>
  <si>
    <t>1VTDECWQ-503532</t>
  </si>
  <si>
    <t>https://www.waterqualitydata.us/provider/STORET/1VTDECWQ/1VTDECWQ-503532/</t>
  </si>
  <si>
    <t>1VTDECWQ-503533</t>
  </si>
  <si>
    <t>https://www.waterqualitydata.us/provider/STORET/1VTDECWQ/1VTDECWQ-503533/</t>
  </si>
  <si>
    <t>1VTDECWQ-503545</t>
  </si>
  <si>
    <t>https://www.waterqualitydata.us/provider/STORET/1VTDECWQ/1VTDECWQ-503545/</t>
  </si>
  <si>
    <t>1VTDECWQ-503547</t>
  </si>
  <si>
    <t>https://www.waterqualitydata.us/provider/STORET/1VTDECWQ/1VTDECWQ-503547/</t>
  </si>
  <si>
    <t>1119USBR_WQX-FDR010</t>
  </si>
  <si>
    <t>FDR at logbboom u/s of FDRW water quality site</t>
  </si>
  <si>
    <t>https://www.waterqualitydata.us/provider/STORET/1119USBR_WQX/1119USBR_WQX-FDR010/</t>
  </si>
  <si>
    <t>Washington</t>
  </si>
  <si>
    <t>Okanogan County</t>
  </si>
  <si>
    <t>Franklin D. Roosevelt Lake</t>
  </si>
  <si>
    <t>Wisconsin</t>
  </si>
  <si>
    <t>EPA_GLNPO-MI17</t>
  </si>
  <si>
    <t>MI17</t>
  </si>
  <si>
    <t>https://www.waterqualitydata.us/provider/STORET/EPA_GLNPO/EPA_GLNPO-MI17/</t>
  </si>
  <si>
    <t>Racine County</t>
  </si>
  <si>
    <t>EPA_GLNPO-MI32</t>
  </si>
  <si>
    <t>MI32</t>
  </si>
  <si>
    <t>https://www.waterqualitydata.us/provider/STORET/EPA_GLNPO/EPA_GLNPO-MI32/</t>
  </si>
  <si>
    <t>Manitowoc County</t>
  </si>
  <si>
    <t>EPA_GLNPO-MI40</t>
  </si>
  <si>
    <t>MI40</t>
  </si>
  <si>
    <t>https://www.waterqualitydata.us/provider/STORET/EPA_GLNPO/EPA_GLNPO-MI40/</t>
  </si>
  <si>
    <t>Door County</t>
  </si>
  <si>
    <t>EPA_GLNPO-MI47</t>
  </si>
  <si>
    <t>MI47</t>
  </si>
  <si>
    <t>https://www.waterqualitydata.us/provider/STORET/EPA_GLNPO/EPA_GLNPO-MI47/</t>
  </si>
  <si>
    <t>EPA_GLNPO-SUFE</t>
  </si>
  <si>
    <t>SUFE</t>
  </si>
  <si>
    <t>https://www.waterqualitydata.us/provider/STORET/EPA_GLNPO/EPA_GLNPO-SUFE/</t>
  </si>
  <si>
    <t>Ashland County</t>
  </si>
  <si>
    <t>WI_MMSD</t>
  </si>
  <si>
    <t>Milwaukee Metropolitan Sewerage District</t>
  </si>
  <si>
    <t>WI_MMSD-NS-01</t>
  </si>
  <si>
    <t>Lake Michigan near Wind Point</t>
  </si>
  <si>
    <t>https://www.waterqualitydata.us/provider/STORET/WI_MMSD/WI_MMSD-NS-01/</t>
  </si>
  <si>
    <t>WI_MMSD-NS-02</t>
  </si>
  <si>
    <t>Lake Michigan near South Milwaukee</t>
  </si>
  <si>
    <t>https://www.waterqualitydata.us/provider/STORET/WI_MMSD/WI_MMSD-NS-02/</t>
  </si>
  <si>
    <t>Milwaukee County</t>
  </si>
  <si>
    <t>WI_MMSD-NS-03</t>
  </si>
  <si>
    <t>https://www.waterqualitydata.us/provider/STORET/WI_MMSD/WI_MMSD-NS-03/</t>
  </si>
  <si>
    <t>WI_MMSD-NS-04</t>
  </si>
  <si>
    <t>Lake Michigan near St Francis</t>
  </si>
  <si>
    <t>https://www.waterqualitydata.us/provider/STORET/WI_MMSD/WI_MMSD-NS-04/</t>
  </si>
  <si>
    <t>WI_MMSD-NS-05</t>
  </si>
  <si>
    <t>https://www.waterqualitydata.us/provider/STORET/WI_MMSD/WI_MMSD-NS-05/</t>
  </si>
  <si>
    <t>WI_MMSD-NS-07</t>
  </si>
  <si>
    <t>Lake Michigan near North Point</t>
  </si>
  <si>
    <t>https://www.waterqualitydata.us/provider/STORET/WI_MMSD/WI_MMSD-NS-07/</t>
  </si>
  <si>
    <t>WI_MMSD-NS-08</t>
  </si>
  <si>
    <t>https://www.waterqualitydata.us/provider/STORET/WI_MMSD/WI_MMSD-NS-08/</t>
  </si>
  <si>
    <t>WI_MMSD-NS-10</t>
  </si>
  <si>
    <t>Lake Michigan near Fox Point</t>
  </si>
  <si>
    <t>https://www.waterqualitydata.us/provider/STORET/WI_MMSD/WI_MMSD-NS-10/</t>
  </si>
  <si>
    <t>WI_MMSD-OH-01</t>
  </si>
  <si>
    <t>Milwaukee River at mouth</t>
  </si>
  <si>
    <t>https://www.waterqualitydata.us/provider/STORET/WI_MMSD/WI_MMSD-OH-01/</t>
  </si>
  <si>
    <t>WI_MMSD-OH-02</t>
  </si>
  <si>
    <t>Milwaukee Harbor at Jones Island WRF Outfall</t>
  </si>
  <si>
    <t>https://www.waterqualitydata.us/provider/STORET/WI_MMSD/WI_MMSD-OH-02/</t>
  </si>
  <si>
    <t>WI_MMSD-OH-03</t>
  </si>
  <si>
    <t>Milwaukee Harbor at Main Shipping Channel</t>
  </si>
  <si>
    <t>https://www.waterqualitydata.us/provider/STORET/WI_MMSD/WI_MMSD-OH-03/</t>
  </si>
  <si>
    <t>WI_MMSD-OH-04</t>
  </si>
  <si>
    <t>Milwaukee Harbor North Half</t>
  </si>
  <si>
    <t>https://www.waterqualitydata.us/provider/STORET/WI_MMSD/WI_MMSD-OH-04/</t>
  </si>
  <si>
    <t>WI_MMSD-OH-05</t>
  </si>
  <si>
    <t>Milwaukee Harbor at North Entrance</t>
  </si>
  <si>
    <t>https://www.waterqualitydata.us/provider/STORET/WI_MMSD/WI_MMSD-OH-05/</t>
  </si>
  <si>
    <t>WI_MMSD-OH-07</t>
  </si>
  <si>
    <t>Milwaukee Harbor at Main Entrance</t>
  </si>
  <si>
    <t>https://www.waterqualitydata.us/provider/STORET/WI_MMSD/WI_MMSD-OH-07/</t>
  </si>
  <si>
    <t>WI_MMSD-OH-09</t>
  </si>
  <si>
    <t>Milwaukee Harbor at South Entrance</t>
  </si>
  <si>
    <t>https://www.waterqualitydata.us/provider/STORET/WI_MMSD/WI_MMSD-OH-09/</t>
  </si>
  <si>
    <t>WI_MMSD-OH-10</t>
  </si>
  <si>
    <t>Milwaukee Harbor at South Shore Marina Entrance</t>
  </si>
  <si>
    <t>https://www.waterqualitydata.us/provider/STORET/WI_MMSD/WI_MMSD-OH-10/</t>
  </si>
  <si>
    <t>WI_MMSD-OH-11</t>
  </si>
  <si>
    <t>Milwaukee Harbor South Half</t>
  </si>
  <si>
    <t>https://www.waterqualitydata.us/provider/STORET/WI_MMSD/WI_MMSD-OH-11/</t>
  </si>
  <si>
    <t>WI_MMSD-OH-12</t>
  </si>
  <si>
    <t>Lake Michigan near North Entrance</t>
  </si>
  <si>
    <t>https://www.waterqualitydata.us/provider/STORET/WI_MMSD/WI_MMSD-OH-12/</t>
  </si>
  <si>
    <t>WI_MMSD-OH-13</t>
  </si>
  <si>
    <t>Lake Michigan near South Entrance</t>
  </si>
  <si>
    <t>https://www.waterqualitydata.us/provider/STORET/WI_MMSD/WI_MMSD-OH-13/</t>
  </si>
  <si>
    <t>WI_MMSD-OH-14</t>
  </si>
  <si>
    <t>Lake Michigan near Main Entrance</t>
  </si>
  <si>
    <t>https://www.waterqualitydata.us/provider/STORET/WI_MMSD/WI_MMSD-OH-14/</t>
  </si>
  <si>
    <t>WI_MMSD-OH-15</t>
  </si>
  <si>
    <t>Milwaukee Harbor at McKinley Marina</t>
  </si>
  <si>
    <t>https://www.waterqualitydata.us/provider/STORET/WI_MMSD/WI_MMSD-OH-15/</t>
  </si>
  <si>
    <t>WI_MMSD-OH-16</t>
  </si>
  <si>
    <t>Lake Michigan near South Shore Park</t>
  </si>
  <si>
    <t>https://www.waterqualitydata.us/provider/STORET/WI_MMSD/WI_MMSD-OH-16/</t>
  </si>
  <si>
    <t>WI_MMSD-OH-17</t>
  </si>
  <si>
    <t>Lake Michigan near Bradford Beach</t>
  </si>
  <si>
    <t>https://www.waterqualitydata.us/provider/STORET/WI_MMSD/WI_MMSD-OH-17/</t>
  </si>
  <si>
    <t>WI_MMSD-SS-01</t>
  </si>
  <si>
    <t>Lake Michigan at South Shore WRF Outfall</t>
  </si>
  <si>
    <t>https://www.waterqualitydata.us/provider/STORET/WI_MMSD/WI_MMSD-SS-01/</t>
  </si>
  <si>
    <t>WI_MMSD-SS-02</t>
  </si>
  <si>
    <t>Lake Michigan near South Shore WRF Outfall</t>
  </si>
  <si>
    <t>https://www.waterqualitydata.us/provider/STORET/WI_MMSD/WI_MMSD-SS-02/</t>
  </si>
  <si>
    <t>WI_MMSD-SS-03</t>
  </si>
  <si>
    <t>https://www.waterqualitydata.us/provider/STORET/WI_MMSD/WI_MMSD-SS-03/</t>
  </si>
  <si>
    <t>WI_MMSD-SS-04</t>
  </si>
  <si>
    <t>https://www.waterqualitydata.us/provider/STORET/WI_MMSD/WI_MMSD-SS-04/</t>
  </si>
  <si>
    <t>WI_MMSD-SS-05</t>
  </si>
  <si>
    <t>https://www.waterqualitydata.us/provider/STORET/WI_MMSD/WI_MMSD-SS-05/</t>
  </si>
  <si>
    <t>WI_MMSD-SS-06</t>
  </si>
  <si>
    <t>https://www.waterqualitydata.us/provider/STORET/WI_MMSD/WI_MMSD-SS-06/</t>
  </si>
  <si>
    <t>WI_MMSD-SS-07</t>
  </si>
  <si>
    <t>https://www.waterqualitydata.us/provider/STORET/WI_MMSD/WI_MMSD-SS-07/</t>
  </si>
  <si>
    <t>WI_MMSD-SS-08</t>
  </si>
  <si>
    <t>https://www.waterqualitydata.us/provider/STORET/WI_MMSD/WI_MMSD-SS-08/</t>
  </si>
  <si>
    <t>WI_MMSD-SS-09</t>
  </si>
  <si>
    <t>https://www.waterqualitydata.us/provider/STORET/WI_MMSD/WI_MMSD-SS-09/</t>
  </si>
  <si>
    <t>WI_MMSD-SS-10</t>
  </si>
  <si>
    <t>https://www.waterqualitydata.us/provider/STORET/WI_MMSD/WI_MMSD-SS-10/</t>
  </si>
  <si>
    <t>WI_MMSD-SS-11</t>
  </si>
  <si>
    <t>https://www.waterqualitydata.us/provider/STORET/WI_MMSD/WI_MMSD-SS-11/</t>
  </si>
  <si>
    <t>WI_MMSD-SS-12</t>
  </si>
  <si>
    <t>https://www.waterqualitydata.us/provider/STORET/WI_MMSD/WI_MMSD-SS-12/</t>
  </si>
  <si>
    <t>Reservoir / Embalse / Reservoir</t>
  </si>
  <si>
    <t>Water Bodies</t>
  </si>
  <si>
    <t>States</t>
  </si>
  <si>
    <t>Number of Stations</t>
  </si>
  <si>
    <t>Transboundary Water Bodies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</si>
</sst>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" fontId="0" fillId="0" borderId="0" xfId="0" applyNumberFormat="1"/>
    <xf numFmtId="2" fontId="0" fillId="0" borderId="0" xfId="0" applyNumberFormat="1"/>
    <xf numFmtId="0" fontId="0" fillId="33" borderId="0" xfId="0" applyFill="1"/>
    <xf numFmtId="1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EA226-9196-4E3B-8E7E-7C33B05C823E}">
  <dimension ref="A1:S448"/>
  <sheetViews>
    <sheetView topLeftCell="F419" workbookViewId="0">
      <selection sqref="A1:S1048576"/>
    </sheetView>
  </sheetViews>
  <sheetFormatPr defaultColWidth="11.33203125" defaultRowHeight="14.4" x14ac:dyDescent="0.3"/>
  <cols>
    <col min="1" max="7" width="11.33203125" style="1"/>
    <col min="9" max="9" width="11.33203125" style="1"/>
    <col min="10" max="10" width="14.21875" bestFit="1" customWidth="1"/>
    <col min="12" max="13" width="11.33203125" style="1"/>
    <col min="16" max="16" width="11.33203125" style="1"/>
    <col min="17" max="17" width="15.33203125" style="1" customWidth="1"/>
    <col min="18" max="18" width="28.33203125" style="1" bestFit="1" customWidth="1"/>
    <col min="19" max="19" width="11.33203125" style="2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I1" s="1" t="s">
        <v>8</v>
      </c>
      <c r="J1" t="s">
        <v>9</v>
      </c>
      <c r="K1" t="s">
        <v>10</v>
      </c>
      <c r="L1" s="1" t="s">
        <v>11</v>
      </c>
      <c r="M1" s="1" t="s">
        <v>12</v>
      </c>
      <c r="N1" t="s">
        <v>13</v>
      </c>
      <c r="O1" t="s">
        <v>14</v>
      </c>
      <c r="P1" s="1" t="s">
        <v>15</v>
      </c>
      <c r="Q1" s="1" t="s">
        <v>16</v>
      </c>
      <c r="R1" s="1" t="s">
        <v>17</v>
      </c>
      <c r="S1" s="2" t="s">
        <v>18</v>
      </c>
    </row>
    <row r="2" spans="1:19" x14ac:dyDescent="0.3">
      <c r="A2" s="1" t="s">
        <v>19</v>
      </c>
      <c r="B2" s="1" t="s">
        <v>769</v>
      </c>
      <c r="C2" s="1" t="s">
        <v>770</v>
      </c>
      <c r="D2" s="1" t="s">
        <v>779</v>
      </c>
      <c r="E2" s="1" t="s">
        <v>780</v>
      </c>
      <c r="F2" s="1" t="s">
        <v>61</v>
      </c>
      <c r="G2" s="1" t="s">
        <v>23</v>
      </c>
      <c r="H2">
        <v>4150408</v>
      </c>
      <c r="I2" s="1" t="s">
        <v>781</v>
      </c>
      <c r="J2">
        <v>3192</v>
      </c>
      <c r="K2">
        <v>3192</v>
      </c>
      <c r="L2" s="1" t="s">
        <v>776</v>
      </c>
      <c r="M2" s="1" t="s">
        <v>782</v>
      </c>
      <c r="N2">
        <v>44.4711</v>
      </c>
      <c r="O2">
        <v>-73.299199999999999</v>
      </c>
      <c r="P2" s="1" t="s">
        <v>396</v>
      </c>
      <c r="Q2" s="1" t="s">
        <v>26</v>
      </c>
      <c r="R2" s="1" t="s">
        <v>783</v>
      </c>
      <c r="S2" s="2">
        <v>1117.76</v>
      </c>
    </row>
    <row r="3" spans="1:19" x14ac:dyDescent="0.3">
      <c r="A3" s="1" t="s">
        <v>19</v>
      </c>
      <c r="B3" s="1" t="s">
        <v>769</v>
      </c>
      <c r="C3" s="1" t="s">
        <v>770</v>
      </c>
      <c r="D3" s="1" t="s">
        <v>1445</v>
      </c>
      <c r="E3" s="1" t="s">
        <v>1418</v>
      </c>
      <c r="F3" s="1" t="s">
        <v>61</v>
      </c>
      <c r="G3" s="1" t="s">
        <v>23</v>
      </c>
      <c r="H3">
        <v>4150408</v>
      </c>
      <c r="I3" s="1" t="s">
        <v>1446</v>
      </c>
      <c r="J3">
        <v>3028</v>
      </c>
      <c r="K3">
        <v>3028</v>
      </c>
      <c r="L3" s="1" t="s">
        <v>1415</v>
      </c>
      <c r="M3" s="1" t="s">
        <v>1416</v>
      </c>
      <c r="N3">
        <v>44.708100000000002</v>
      </c>
      <c r="O3">
        <v>-73.226900000000001</v>
      </c>
      <c r="P3" s="1" t="s">
        <v>396</v>
      </c>
      <c r="Q3" s="1" t="s">
        <v>26</v>
      </c>
      <c r="R3" s="1" t="s">
        <v>783</v>
      </c>
      <c r="S3" s="2">
        <v>1117.76</v>
      </c>
    </row>
    <row r="4" spans="1:19" x14ac:dyDescent="0.3">
      <c r="A4" s="1" t="s">
        <v>19</v>
      </c>
      <c r="B4" s="1" t="s">
        <v>769</v>
      </c>
      <c r="C4" s="1" t="s">
        <v>770</v>
      </c>
      <c r="D4" s="1" t="s">
        <v>787</v>
      </c>
      <c r="E4" s="1" t="s">
        <v>788</v>
      </c>
      <c r="F4" s="1" t="s">
        <v>61</v>
      </c>
      <c r="G4" s="1" t="s">
        <v>23</v>
      </c>
      <c r="H4">
        <v>4150408</v>
      </c>
      <c r="I4" s="1" t="s">
        <v>789</v>
      </c>
      <c r="J4">
        <v>2958</v>
      </c>
      <c r="K4">
        <v>2958</v>
      </c>
      <c r="L4" s="1" t="s">
        <v>776</v>
      </c>
      <c r="M4" s="1" t="s">
        <v>786</v>
      </c>
      <c r="N4">
        <v>44.756100000000004</v>
      </c>
      <c r="O4">
        <v>-73.355000000000004</v>
      </c>
      <c r="P4" s="1" t="s">
        <v>396</v>
      </c>
      <c r="Q4" s="1" t="s">
        <v>26</v>
      </c>
      <c r="R4" s="1" t="s">
        <v>783</v>
      </c>
      <c r="S4" s="2">
        <v>1117.76</v>
      </c>
    </row>
    <row r="5" spans="1:19" x14ac:dyDescent="0.3">
      <c r="A5" s="1" t="s">
        <v>19</v>
      </c>
      <c r="B5" s="1" t="s">
        <v>769</v>
      </c>
      <c r="C5" s="1" t="s">
        <v>770</v>
      </c>
      <c r="D5" s="1" t="s">
        <v>1424</v>
      </c>
      <c r="E5" s="1" t="s">
        <v>1425</v>
      </c>
      <c r="F5" s="1" t="s">
        <v>61</v>
      </c>
      <c r="G5" s="1" t="s">
        <v>23</v>
      </c>
      <c r="H5">
        <v>4150408</v>
      </c>
      <c r="I5" s="1" t="s">
        <v>1426</v>
      </c>
      <c r="J5">
        <v>2890</v>
      </c>
      <c r="K5">
        <v>2890</v>
      </c>
      <c r="L5" s="1" t="s">
        <v>1415</v>
      </c>
      <c r="M5" s="1" t="s">
        <v>1423</v>
      </c>
      <c r="N5">
        <v>44.242199999999997</v>
      </c>
      <c r="O5">
        <v>-73.3292</v>
      </c>
      <c r="P5" s="1" t="s">
        <v>396</v>
      </c>
      <c r="Q5" s="1" t="s">
        <v>26</v>
      </c>
      <c r="R5" s="1" t="s">
        <v>783</v>
      </c>
      <c r="S5" s="2">
        <v>1117.76</v>
      </c>
    </row>
    <row r="6" spans="1:19" x14ac:dyDescent="0.3">
      <c r="A6" s="1" t="s">
        <v>19</v>
      </c>
      <c r="B6" s="1" t="s">
        <v>769</v>
      </c>
      <c r="C6" s="1" t="s">
        <v>770</v>
      </c>
      <c r="D6" s="1" t="s">
        <v>1420</v>
      </c>
      <c r="E6" s="1" t="s">
        <v>1421</v>
      </c>
      <c r="F6" s="1" t="s">
        <v>61</v>
      </c>
      <c r="G6" s="1" t="s">
        <v>23</v>
      </c>
      <c r="H6">
        <v>4150408</v>
      </c>
      <c r="I6" s="1" t="s">
        <v>1422</v>
      </c>
      <c r="J6">
        <v>2840</v>
      </c>
      <c r="K6">
        <v>2840</v>
      </c>
      <c r="L6" s="1" t="s">
        <v>1415</v>
      </c>
      <c r="M6" s="1" t="s">
        <v>1423</v>
      </c>
      <c r="N6">
        <v>44.126100000000001</v>
      </c>
      <c r="O6">
        <v>-73.412800000000004</v>
      </c>
      <c r="P6" s="1" t="s">
        <v>396</v>
      </c>
      <c r="Q6" s="1" t="s">
        <v>26</v>
      </c>
      <c r="R6" s="1" t="s">
        <v>783</v>
      </c>
      <c r="S6" s="2">
        <v>1117.76</v>
      </c>
    </row>
    <row r="7" spans="1:19" x14ac:dyDescent="0.3">
      <c r="A7" s="1" t="s">
        <v>19</v>
      </c>
      <c r="B7" s="1" t="s">
        <v>769</v>
      </c>
      <c r="C7" s="1" t="s">
        <v>770</v>
      </c>
      <c r="D7" s="1" t="s">
        <v>1459</v>
      </c>
      <c r="E7" s="1" t="s">
        <v>1451</v>
      </c>
      <c r="F7" s="1" t="s">
        <v>61</v>
      </c>
      <c r="G7" s="1" t="s">
        <v>23</v>
      </c>
      <c r="H7">
        <v>4150408</v>
      </c>
      <c r="I7" s="1" t="s">
        <v>1460</v>
      </c>
      <c r="J7">
        <v>2785</v>
      </c>
      <c r="K7">
        <v>2785</v>
      </c>
      <c r="L7" s="1" t="s">
        <v>1415</v>
      </c>
      <c r="M7" s="1" t="s">
        <v>1416</v>
      </c>
      <c r="N7">
        <v>44.581899999999997</v>
      </c>
      <c r="O7">
        <v>-73.281099999999995</v>
      </c>
      <c r="P7" s="1" t="s">
        <v>396</v>
      </c>
      <c r="Q7" s="1" t="s">
        <v>26</v>
      </c>
      <c r="R7" s="1" t="s">
        <v>783</v>
      </c>
      <c r="S7" s="2">
        <v>1117.76</v>
      </c>
    </row>
    <row r="8" spans="1:19" x14ac:dyDescent="0.3">
      <c r="A8" s="1" t="s">
        <v>19</v>
      </c>
      <c r="B8" s="1" t="s">
        <v>769</v>
      </c>
      <c r="C8" s="1" t="s">
        <v>770</v>
      </c>
      <c r="D8" s="1" t="s">
        <v>1453</v>
      </c>
      <c r="E8" s="1" t="s">
        <v>1454</v>
      </c>
      <c r="F8" s="1" t="s">
        <v>61</v>
      </c>
      <c r="G8" s="1" t="s">
        <v>23</v>
      </c>
      <c r="H8">
        <v>4150408</v>
      </c>
      <c r="I8" s="1" t="s">
        <v>1455</v>
      </c>
      <c r="J8">
        <v>1878</v>
      </c>
      <c r="K8">
        <v>1878</v>
      </c>
      <c r="L8" s="1" t="s">
        <v>1415</v>
      </c>
      <c r="M8" s="1" t="s">
        <v>1416</v>
      </c>
      <c r="N8">
        <v>44.425800000000002</v>
      </c>
      <c r="O8">
        <v>-73.231899999999996</v>
      </c>
      <c r="P8" s="1" t="s">
        <v>396</v>
      </c>
      <c r="Q8" s="1" t="s">
        <v>26</v>
      </c>
      <c r="R8" s="1" t="s">
        <v>783</v>
      </c>
      <c r="S8" s="2">
        <v>1117.76</v>
      </c>
    </row>
    <row r="9" spans="1:19" x14ac:dyDescent="0.3">
      <c r="A9" s="1" t="s">
        <v>19</v>
      </c>
      <c r="B9" s="1" t="s">
        <v>769</v>
      </c>
      <c r="C9" s="1" t="s">
        <v>770</v>
      </c>
      <c r="D9" s="1" t="s">
        <v>1427</v>
      </c>
      <c r="E9" s="1" t="s">
        <v>1428</v>
      </c>
      <c r="F9" s="1" t="s">
        <v>61</v>
      </c>
      <c r="G9" s="1" t="s">
        <v>23</v>
      </c>
      <c r="H9">
        <v>4150408</v>
      </c>
      <c r="I9" s="1" t="s">
        <v>1429</v>
      </c>
      <c r="J9">
        <v>1611</v>
      </c>
      <c r="K9">
        <v>1611</v>
      </c>
      <c r="L9" s="1" t="s">
        <v>1415</v>
      </c>
      <c r="M9" s="1" t="s">
        <v>1416</v>
      </c>
      <c r="N9">
        <v>44.474699999999999</v>
      </c>
      <c r="O9">
        <v>-73.231700000000004</v>
      </c>
      <c r="P9" s="1" t="s">
        <v>396</v>
      </c>
      <c r="Q9" s="1" t="s">
        <v>26</v>
      </c>
      <c r="R9" s="1" t="s">
        <v>783</v>
      </c>
      <c r="S9" s="2">
        <v>1117.76</v>
      </c>
    </row>
    <row r="10" spans="1:19" x14ac:dyDescent="0.3">
      <c r="A10" s="1" t="s">
        <v>19</v>
      </c>
      <c r="B10" s="1" t="s">
        <v>769</v>
      </c>
      <c r="C10" s="1" t="s">
        <v>770</v>
      </c>
      <c r="D10" s="1" t="s">
        <v>796</v>
      </c>
      <c r="E10" s="1" t="s">
        <v>797</v>
      </c>
      <c r="F10" s="1" t="s">
        <v>61</v>
      </c>
      <c r="G10" s="1" t="s">
        <v>23</v>
      </c>
      <c r="H10">
        <v>4150408</v>
      </c>
      <c r="I10" s="1" t="s">
        <v>798</v>
      </c>
      <c r="J10">
        <v>1214</v>
      </c>
      <c r="K10">
        <v>1214</v>
      </c>
      <c r="L10" s="1" t="s">
        <v>776</v>
      </c>
      <c r="M10" s="1" t="s">
        <v>782</v>
      </c>
      <c r="N10">
        <v>43.951700000000002</v>
      </c>
      <c r="O10">
        <v>-73.407799999999995</v>
      </c>
      <c r="P10" s="1" t="s">
        <v>396</v>
      </c>
      <c r="Q10" s="1" t="s">
        <v>26</v>
      </c>
      <c r="R10" s="1" t="s">
        <v>783</v>
      </c>
      <c r="S10" s="2">
        <v>1117.76</v>
      </c>
    </row>
    <row r="11" spans="1:19" x14ac:dyDescent="0.3">
      <c r="A11" s="1" t="s">
        <v>19</v>
      </c>
      <c r="B11" s="1" t="s">
        <v>769</v>
      </c>
      <c r="C11" s="1" t="s">
        <v>770</v>
      </c>
      <c r="D11" s="1" t="s">
        <v>784</v>
      </c>
      <c r="E11" s="1" t="s">
        <v>780</v>
      </c>
      <c r="F11" s="1" t="s">
        <v>61</v>
      </c>
      <c r="G11" s="1" t="s">
        <v>23</v>
      </c>
      <c r="H11">
        <v>4150408</v>
      </c>
      <c r="I11" s="1" t="s">
        <v>785</v>
      </c>
      <c r="J11">
        <v>1015</v>
      </c>
      <c r="K11">
        <v>1015</v>
      </c>
      <c r="L11" s="1" t="s">
        <v>776</v>
      </c>
      <c r="M11" s="1" t="s">
        <v>786</v>
      </c>
      <c r="N11">
        <v>44.701099999999997</v>
      </c>
      <c r="O11">
        <v>-73.418099999999995</v>
      </c>
      <c r="P11" s="1" t="s">
        <v>396</v>
      </c>
      <c r="Q11" s="1" t="s">
        <v>26</v>
      </c>
      <c r="R11" s="1" t="s">
        <v>783</v>
      </c>
      <c r="S11" s="2">
        <v>1117.76</v>
      </c>
    </row>
    <row r="12" spans="1:19" x14ac:dyDescent="0.3">
      <c r="A12" s="1" t="s">
        <v>19</v>
      </c>
      <c r="B12" s="1" t="s">
        <v>1499</v>
      </c>
      <c r="C12" s="1" t="s">
        <v>1500</v>
      </c>
      <c r="D12" s="1" t="s">
        <v>1529</v>
      </c>
      <c r="E12" s="1" t="s">
        <v>1530</v>
      </c>
      <c r="F12" s="1" t="s">
        <v>480</v>
      </c>
      <c r="G12" s="1" t="s">
        <v>23</v>
      </c>
      <c r="H12">
        <v>4060200</v>
      </c>
      <c r="I12" s="1" t="s">
        <v>1531</v>
      </c>
      <c r="J12">
        <v>1004</v>
      </c>
      <c r="K12">
        <v>1004</v>
      </c>
      <c r="L12" s="1" t="s">
        <v>1479</v>
      </c>
      <c r="M12" s="1" t="s">
        <v>1507</v>
      </c>
      <c r="N12">
        <v>43.026166699999997</v>
      </c>
      <c r="O12">
        <v>-87.888833199999993</v>
      </c>
      <c r="P12" s="1" t="s">
        <v>25</v>
      </c>
      <c r="Q12" s="1" t="s">
        <v>26</v>
      </c>
      <c r="R12" s="1" t="s">
        <v>518</v>
      </c>
      <c r="S12" s="2">
        <v>52823.5</v>
      </c>
    </row>
    <row r="13" spans="1:19" x14ac:dyDescent="0.3">
      <c r="A13" s="1" t="s">
        <v>19</v>
      </c>
      <c r="B13" s="1" t="s">
        <v>769</v>
      </c>
      <c r="C13" s="1" t="s">
        <v>770</v>
      </c>
      <c r="D13" s="1" t="s">
        <v>801</v>
      </c>
      <c r="E13" s="1" t="s">
        <v>788</v>
      </c>
      <c r="F13" s="1" t="s">
        <v>61</v>
      </c>
      <c r="G13" s="1" t="s">
        <v>23</v>
      </c>
      <c r="H13">
        <v>4150408</v>
      </c>
      <c r="I13" s="1" t="s">
        <v>802</v>
      </c>
      <c r="J13">
        <v>982</v>
      </c>
      <c r="K13">
        <v>982</v>
      </c>
      <c r="L13" s="1" t="s">
        <v>776</v>
      </c>
      <c r="M13" s="1" t="s">
        <v>786</v>
      </c>
      <c r="N13">
        <v>44.948300000000003</v>
      </c>
      <c r="O13">
        <v>-73.34</v>
      </c>
      <c r="P13" s="1" t="s">
        <v>396</v>
      </c>
      <c r="Q13" s="1" t="s">
        <v>26</v>
      </c>
      <c r="R13" s="1" t="s">
        <v>783</v>
      </c>
      <c r="S13" s="2">
        <v>1117.76</v>
      </c>
    </row>
    <row r="14" spans="1:19" x14ac:dyDescent="0.3">
      <c r="A14" s="1" t="s">
        <v>19</v>
      </c>
      <c r="B14" s="1" t="s">
        <v>769</v>
      </c>
      <c r="C14" s="1" t="s">
        <v>770</v>
      </c>
      <c r="D14" s="1" t="s">
        <v>1456</v>
      </c>
      <c r="E14" s="1" t="s">
        <v>1457</v>
      </c>
      <c r="F14" s="1" t="s">
        <v>61</v>
      </c>
      <c r="G14" s="1" t="s">
        <v>23</v>
      </c>
      <c r="H14">
        <v>4150408</v>
      </c>
      <c r="I14" s="1" t="s">
        <v>1458</v>
      </c>
      <c r="J14">
        <v>936</v>
      </c>
      <c r="K14">
        <v>936</v>
      </c>
      <c r="L14" s="1" t="s">
        <v>1415</v>
      </c>
      <c r="M14" s="1" t="s">
        <v>1251</v>
      </c>
      <c r="N14">
        <v>45.013300000000001</v>
      </c>
      <c r="O14">
        <v>-73.173900000000003</v>
      </c>
      <c r="P14" s="1" t="s">
        <v>396</v>
      </c>
      <c r="Q14" s="1" t="s">
        <v>26</v>
      </c>
      <c r="R14" s="1" t="s">
        <v>783</v>
      </c>
      <c r="S14" s="2">
        <v>1117.76</v>
      </c>
    </row>
    <row r="15" spans="1:19" x14ac:dyDescent="0.3">
      <c r="A15" s="1" t="s">
        <v>62</v>
      </c>
      <c r="B15" s="1" t="s">
        <v>718</v>
      </c>
      <c r="C15" s="1" t="s">
        <v>719</v>
      </c>
      <c r="D15" s="1" t="s">
        <v>740</v>
      </c>
      <c r="E15" s="1" t="s">
        <v>741</v>
      </c>
      <c r="F15" s="1" t="s">
        <v>23</v>
      </c>
      <c r="G15" s="1" t="s">
        <v>23</v>
      </c>
      <c r="H15">
        <v>16050304</v>
      </c>
      <c r="I15" s="1" t="s">
        <v>742</v>
      </c>
      <c r="J15">
        <v>868</v>
      </c>
      <c r="K15">
        <v>933</v>
      </c>
      <c r="L15" s="1" t="s">
        <v>723</v>
      </c>
      <c r="M15" s="1" t="s">
        <v>738</v>
      </c>
      <c r="N15">
        <v>38.700000000000003</v>
      </c>
      <c r="O15">
        <v>-118.7218056</v>
      </c>
      <c r="P15" s="1" t="s">
        <v>25</v>
      </c>
      <c r="Q15" s="1" t="s">
        <v>26</v>
      </c>
      <c r="R15" s="1" t="s">
        <v>739</v>
      </c>
      <c r="S15" s="2">
        <v>142.54</v>
      </c>
    </row>
    <row r="16" spans="1:19" x14ac:dyDescent="0.3">
      <c r="A16" s="1" t="s">
        <v>19</v>
      </c>
      <c r="B16" s="1" t="s">
        <v>769</v>
      </c>
      <c r="C16" s="1" t="s">
        <v>770</v>
      </c>
      <c r="D16" s="1" t="s">
        <v>1447</v>
      </c>
      <c r="E16" s="1" t="s">
        <v>1448</v>
      </c>
      <c r="F16" s="1" t="s">
        <v>61</v>
      </c>
      <c r="G16" s="1" t="s">
        <v>23</v>
      </c>
      <c r="H16">
        <v>4150408</v>
      </c>
      <c r="I16" s="1" t="s">
        <v>1449</v>
      </c>
      <c r="J16">
        <v>896</v>
      </c>
      <c r="K16">
        <v>896</v>
      </c>
      <c r="L16" s="1" t="s">
        <v>1415</v>
      </c>
      <c r="M16" s="1" t="s">
        <v>1251</v>
      </c>
      <c r="N16">
        <v>44.785299999999999</v>
      </c>
      <c r="O16">
        <v>-73.162199999999999</v>
      </c>
      <c r="P16" s="1" t="s">
        <v>396</v>
      </c>
      <c r="Q16" s="1" t="s">
        <v>26</v>
      </c>
      <c r="R16" s="1" t="s">
        <v>783</v>
      </c>
      <c r="S16" s="2">
        <v>1117.76</v>
      </c>
    </row>
    <row r="17" spans="1:19" x14ac:dyDescent="0.3">
      <c r="A17" s="1" t="s">
        <v>19</v>
      </c>
      <c r="B17" s="1" t="s">
        <v>1499</v>
      </c>
      <c r="C17" s="1" t="s">
        <v>1500</v>
      </c>
      <c r="D17" s="1" t="s">
        <v>1523</v>
      </c>
      <c r="E17" s="1" t="s">
        <v>1524</v>
      </c>
      <c r="F17" s="1" t="s">
        <v>480</v>
      </c>
      <c r="G17" s="1" t="s">
        <v>23</v>
      </c>
      <c r="H17">
        <v>4040003</v>
      </c>
      <c r="I17" s="1" t="s">
        <v>1525</v>
      </c>
      <c r="J17">
        <v>879</v>
      </c>
      <c r="K17">
        <v>879</v>
      </c>
      <c r="L17" s="1" t="s">
        <v>1479</v>
      </c>
      <c r="M17" s="1" t="s">
        <v>1507</v>
      </c>
      <c r="N17">
        <v>43.025499600000003</v>
      </c>
      <c r="O17">
        <v>-87.895861199999999</v>
      </c>
      <c r="P17" s="1" t="s">
        <v>25</v>
      </c>
      <c r="Q17" s="1" t="s">
        <v>26</v>
      </c>
      <c r="R17" s="1" t="s">
        <v>518</v>
      </c>
      <c r="S17" s="2">
        <v>52823.5</v>
      </c>
    </row>
    <row r="18" spans="1:19" x14ac:dyDescent="0.3">
      <c r="A18" s="1" t="s">
        <v>19</v>
      </c>
      <c r="B18" s="1" t="s">
        <v>1499</v>
      </c>
      <c r="C18" s="1" t="s">
        <v>1500</v>
      </c>
      <c r="D18" s="1" t="s">
        <v>1538</v>
      </c>
      <c r="E18" s="1" t="s">
        <v>1539</v>
      </c>
      <c r="F18" s="1" t="s">
        <v>480</v>
      </c>
      <c r="G18" s="1" t="s">
        <v>23</v>
      </c>
      <c r="H18">
        <v>4060200</v>
      </c>
      <c r="I18" s="1" t="s">
        <v>1540</v>
      </c>
      <c r="J18">
        <v>879</v>
      </c>
      <c r="K18">
        <v>879</v>
      </c>
      <c r="L18" s="1" t="s">
        <v>1479</v>
      </c>
      <c r="M18" s="1" t="s">
        <v>1507</v>
      </c>
      <c r="N18">
        <v>43.0261937</v>
      </c>
      <c r="O18">
        <v>-87.882500199999996</v>
      </c>
      <c r="P18" s="1" t="s">
        <v>25</v>
      </c>
      <c r="Q18" s="1" t="s">
        <v>26</v>
      </c>
      <c r="R18" s="1" t="s">
        <v>518</v>
      </c>
      <c r="S18" s="2">
        <v>52823.5</v>
      </c>
    </row>
    <row r="19" spans="1:19" x14ac:dyDescent="0.3">
      <c r="A19" s="1" t="s">
        <v>19</v>
      </c>
      <c r="B19" s="1" t="s">
        <v>1499</v>
      </c>
      <c r="C19" s="1" t="s">
        <v>1500</v>
      </c>
      <c r="D19" s="1" t="s">
        <v>1556</v>
      </c>
      <c r="E19" s="1" t="s">
        <v>1557</v>
      </c>
      <c r="F19" s="1" t="s">
        <v>480</v>
      </c>
      <c r="G19" s="1" t="s">
        <v>23</v>
      </c>
      <c r="H19">
        <v>4060200</v>
      </c>
      <c r="I19" s="1" t="s">
        <v>1558</v>
      </c>
      <c r="J19">
        <v>869</v>
      </c>
      <c r="K19">
        <v>869</v>
      </c>
      <c r="L19" s="1" t="s">
        <v>1479</v>
      </c>
      <c r="M19" s="1" t="s">
        <v>1507</v>
      </c>
      <c r="N19">
        <v>43.027277699999999</v>
      </c>
      <c r="O19">
        <v>-87.863417200000001</v>
      </c>
      <c r="P19" s="1" t="s">
        <v>25</v>
      </c>
      <c r="Q19" s="1" t="s">
        <v>26</v>
      </c>
      <c r="R19" s="1" t="s">
        <v>518</v>
      </c>
      <c r="S19" s="2">
        <v>52823.5</v>
      </c>
    </row>
    <row r="20" spans="1:19" x14ac:dyDescent="0.3">
      <c r="A20" s="1" t="s">
        <v>62</v>
      </c>
      <c r="B20" s="1" t="s">
        <v>718</v>
      </c>
      <c r="C20" s="1" t="s">
        <v>719</v>
      </c>
      <c r="D20" s="1" t="s">
        <v>735</v>
      </c>
      <c r="E20" s="1" t="s">
        <v>736</v>
      </c>
      <c r="F20" s="1" t="s">
        <v>23</v>
      </c>
      <c r="G20" s="1" t="s">
        <v>23</v>
      </c>
      <c r="H20">
        <v>16050304</v>
      </c>
      <c r="I20" s="1" t="s">
        <v>737</v>
      </c>
      <c r="J20">
        <v>759</v>
      </c>
      <c r="K20">
        <v>823</v>
      </c>
      <c r="L20" s="1" t="s">
        <v>723</v>
      </c>
      <c r="M20" s="1" t="s">
        <v>738</v>
      </c>
      <c r="N20">
        <v>38.650833300000002</v>
      </c>
      <c r="O20">
        <v>-118.7146944</v>
      </c>
      <c r="P20" s="1" t="s">
        <v>25</v>
      </c>
      <c r="Q20" s="1" t="s">
        <v>26</v>
      </c>
      <c r="R20" s="1" t="s">
        <v>739</v>
      </c>
      <c r="S20" s="2">
        <v>142.54</v>
      </c>
    </row>
    <row r="21" spans="1:19" x14ac:dyDescent="0.3">
      <c r="A21" s="1" t="s">
        <v>19</v>
      </c>
      <c r="B21" s="1" t="s">
        <v>1499</v>
      </c>
      <c r="C21" s="1" t="s">
        <v>1500</v>
      </c>
      <c r="D21" s="1" t="s">
        <v>1547</v>
      </c>
      <c r="E21" s="1" t="s">
        <v>1548</v>
      </c>
      <c r="F21" s="1" t="s">
        <v>480</v>
      </c>
      <c r="G21" s="1" t="s">
        <v>23</v>
      </c>
      <c r="H21">
        <v>4060200</v>
      </c>
      <c r="I21" s="1" t="s">
        <v>1549</v>
      </c>
      <c r="J21">
        <v>720</v>
      </c>
      <c r="K21">
        <v>720</v>
      </c>
      <c r="L21" s="1" t="s">
        <v>1479</v>
      </c>
      <c r="M21" s="1" t="s">
        <v>1507</v>
      </c>
      <c r="N21">
        <v>43.014499700000002</v>
      </c>
      <c r="O21">
        <v>-87.887139199999993</v>
      </c>
      <c r="P21" s="1" t="s">
        <v>25</v>
      </c>
      <c r="Q21" s="1" t="s">
        <v>26</v>
      </c>
      <c r="R21" s="1" t="s">
        <v>518</v>
      </c>
      <c r="S21" s="2">
        <v>52823.5</v>
      </c>
    </row>
    <row r="22" spans="1:19" x14ac:dyDescent="0.3">
      <c r="A22" s="1" t="s">
        <v>19</v>
      </c>
      <c r="B22" s="1" t="s">
        <v>289</v>
      </c>
      <c r="C22" s="1" t="s">
        <v>290</v>
      </c>
      <c r="D22" s="1" t="s">
        <v>291</v>
      </c>
      <c r="E22" s="1" t="s">
        <v>292</v>
      </c>
      <c r="F22" s="1" t="s">
        <v>61</v>
      </c>
      <c r="G22" s="1" t="s">
        <v>23</v>
      </c>
      <c r="H22">
        <v>3080102</v>
      </c>
      <c r="I22" s="1" t="s">
        <v>293</v>
      </c>
      <c r="J22">
        <v>324</v>
      </c>
      <c r="K22">
        <v>648</v>
      </c>
      <c r="L22" s="1" t="s">
        <v>127</v>
      </c>
      <c r="M22" s="1" t="s">
        <v>166</v>
      </c>
      <c r="N22">
        <v>28.624972199999998</v>
      </c>
      <c r="O22">
        <v>-81.6249167</v>
      </c>
      <c r="P22" s="1" t="s">
        <v>25</v>
      </c>
      <c r="Q22" s="1" t="s">
        <v>26</v>
      </c>
      <c r="R22" s="1" t="s">
        <v>294</v>
      </c>
      <c r="S22" s="2">
        <v>124.66200000000001</v>
      </c>
    </row>
    <row r="23" spans="1:19" x14ac:dyDescent="0.3">
      <c r="A23" s="1" t="s">
        <v>62</v>
      </c>
      <c r="B23" s="1" t="s">
        <v>718</v>
      </c>
      <c r="C23" s="1" t="s">
        <v>719</v>
      </c>
      <c r="D23" s="1" t="s">
        <v>743</v>
      </c>
      <c r="E23" s="1" t="s">
        <v>744</v>
      </c>
      <c r="F23" s="1" t="s">
        <v>23</v>
      </c>
      <c r="G23" s="1" t="s">
        <v>23</v>
      </c>
      <c r="H23">
        <v>16050304</v>
      </c>
      <c r="I23" s="1" t="s">
        <v>745</v>
      </c>
      <c r="J23">
        <v>597</v>
      </c>
      <c r="K23">
        <v>640</v>
      </c>
      <c r="L23" s="1" t="s">
        <v>723</v>
      </c>
      <c r="M23" s="1" t="s">
        <v>738</v>
      </c>
      <c r="N23">
        <v>38.751694399999998</v>
      </c>
      <c r="O23">
        <v>-118.72499999999999</v>
      </c>
      <c r="P23" s="1" t="s">
        <v>25</v>
      </c>
      <c r="Q23" s="1" t="s">
        <v>26</v>
      </c>
      <c r="R23" s="1" t="s">
        <v>739</v>
      </c>
      <c r="S23" s="2">
        <v>142.54</v>
      </c>
    </row>
    <row r="24" spans="1:19" x14ac:dyDescent="0.3">
      <c r="A24" s="1" t="s">
        <v>19</v>
      </c>
      <c r="B24" s="1" t="s">
        <v>1499</v>
      </c>
      <c r="C24" s="1" t="s">
        <v>1500</v>
      </c>
      <c r="D24" s="1" t="s">
        <v>1526</v>
      </c>
      <c r="E24" s="1" t="s">
        <v>1527</v>
      </c>
      <c r="F24" s="1" t="s">
        <v>480</v>
      </c>
      <c r="G24" s="1" t="s">
        <v>23</v>
      </c>
      <c r="H24">
        <v>4060200</v>
      </c>
      <c r="I24" s="1" t="s">
        <v>1528</v>
      </c>
      <c r="J24">
        <v>593</v>
      </c>
      <c r="K24">
        <v>593</v>
      </c>
      <c r="L24" s="1" t="s">
        <v>1479</v>
      </c>
      <c r="M24" s="1" t="s">
        <v>1507</v>
      </c>
      <c r="N24">
        <v>43.023499700000002</v>
      </c>
      <c r="O24">
        <v>-87.894000199999994</v>
      </c>
      <c r="P24" s="1" t="s">
        <v>25</v>
      </c>
      <c r="Q24" s="1" t="s">
        <v>26</v>
      </c>
      <c r="R24" s="1" t="s">
        <v>518</v>
      </c>
      <c r="S24" s="2">
        <v>52823.5</v>
      </c>
    </row>
    <row r="25" spans="1:19" x14ac:dyDescent="0.3">
      <c r="A25" s="1" t="s">
        <v>19</v>
      </c>
      <c r="B25" s="1" t="s">
        <v>1499</v>
      </c>
      <c r="C25" s="1" t="s">
        <v>1500</v>
      </c>
      <c r="D25" s="1" t="s">
        <v>1541</v>
      </c>
      <c r="E25" s="1" t="s">
        <v>1542</v>
      </c>
      <c r="F25" s="1" t="s">
        <v>480</v>
      </c>
      <c r="G25" s="1" t="s">
        <v>23</v>
      </c>
      <c r="H25">
        <v>4060200</v>
      </c>
      <c r="I25" s="1" t="s">
        <v>1543</v>
      </c>
      <c r="J25">
        <v>591</v>
      </c>
      <c r="K25">
        <v>591</v>
      </c>
      <c r="L25" s="1" t="s">
        <v>1479</v>
      </c>
      <c r="M25" s="1" t="s">
        <v>1507</v>
      </c>
      <c r="N25">
        <v>43.008332699999997</v>
      </c>
      <c r="O25">
        <v>-87.877833199999998</v>
      </c>
      <c r="P25" s="1" t="s">
        <v>25</v>
      </c>
      <c r="Q25" s="1" t="s">
        <v>26</v>
      </c>
      <c r="R25" s="1" t="s">
        <v>518</v>
      </c>
      <c r="S25" s="2">
        <v>52823.5</v>
      </c>
    </row>
    <row r="26" spans="1:19" x14ac:dyDescent="0.3">
      <c r="A26" s="1" t="s">
        <v>19</v>
      </c>
      <c r="B26" s="1" t="s">
        <v>1499</v>
      </c>
      <c r="C26" s="1" t="s">
        <v>1500</v>
      </c>
      <c r="D26" s="1" t="s">
        <v>1535</v>
      </c>
      <c r="E26" s="1" t="s">
        <v>1536</v>
      </c>
      <c r="F26" s="1" t="s">
        <v>480</v>
      </c>
      <c r="G26" s="1" t="s">
        <v>23</v>
      </c>
      <c r="H26">
        <v>4060200</v>
      </c>
      <c r="I26" s="1" t="s">
        <v>1537</v>
      </c>
      <c r="J26">
        <v>590</v>
      </c>
      <c r="K26">
        <v>590</v>
      </c>
      <c r="L26" s="1" t="s">
        <v>1479</v>
      </c>
      <c r="M26" s="1" t="s">
        <v>1507</v>
      </c>
      <c r="N26">
        <v>43.044332599999997</v>
      </c>
      <c r="O26">
        <v>-87.8813332</v>
      </c>
      <c r="P26" s="1" t="s">
        <v>25</v>
      </c>
      <c r="Q26" s="1" t="s">
        <v>26</v>
      </c>
      <c r="R26" s="1" t="s">
        <v>518</v>
      </c>
      <c r="S26" s="2">
        <v>52823.5</v>
      </c>
    </row>
    <row r="27" spans="1:19" x14ac:dyDescent="0.3">
      <c r="A27" s="1" t="s">
        <v>19</v>
      </c>
      <c r="B27" s="1" t="s">
        <v>1499</v>
      </c>
      <c r="C27" s="1" t="s">
        <v>1500</v>
      </c>
      <c r="D27" s="1" t="s">
        <v>1544</v>
      </c>
      <c r="E27" s="1" t="s">
        <v>1545</v>
      </c>
      <c r="F27" s="1" t="s">
        <v>480</v>
      </c>
      <c r="G27" s="1" t="s">
        <v>23</v>
      </c>
      <c r="H27">
        <v>4060200</v>
      </c>
      <c r="I27" s="1" t="s">
        <v>1546</v>
      </c>
      <c r="J27">
        <v>590</v>
      </c>
      <c r="K27">
        <v>590</v>
      </c>
      <c r="L27" s="1" t="s">
        <v>1479</v>
      </c>
      <c r="M27" s="1" t="s">
        <v>1507</v>
      </c>
      <c r="N27">
        <v>43.002332699999997</v>
      </c>
      <c r="O27">
        <v>-87.885333200000005</v>
      </c>
      <c r="P27" s="1" t="s">
        <v>25</v>
      </c>
      <c r="Q27" s="1" t="s">
        <v>26</v>
      </c>
      <c r="R27" s="1" t="s">
        <v>518</v>
      </c>
      <c r="S27" s="2">
        <v>52823.5</v>
      </c>
    </row>
    <row r="28" spans="1:19" x14ac:dyDescent="0.3">
      <c r="A28" s="1" t="s">
        <v>19</v>
      </c>
      <c r="B28" s="1" t="s">
        <v>1499</v>
      </c>
      <c r="C28" s="1" t="s">
        <v>1500</v>
      </c>
      <c r="D28" s="1" t="s">
        <v>1550</v>
      </c>
      <c r="E28" s="1" t="s">
        <v>1551</v>
      </c>
      <c r="F28" s="1" t="s">
        <v>480</v>
      </c>
      <c r="G28" s="1" t="s">
        <v>23</v>
      </c>
      <c r="H28">
        <v>4060200</v>
      </c>
      <c r="I28" s="1" t="s">
        <v>1552</v>
      </c>
      <c r="J28">
        <v>579</v>
      </c>
      <c r="K28">
        <v>579</v>
      </c>
      <c r="L28" s="1" t="s">
        <v>1479</v>
      </c>
      <c r="M28" s="1" t="s">
        <v>1507</v>
      </c>
      <c r="N28">
        <v>43.044582699999999</v>
      </c>
      <c r="O28">
        <v>-87.867528199999995</v>
      </c>
      <c r="P28" s="1" t="s">
        <v>25</v>
      </c>
      <c r="Q28" s="1" t="s">
        <v>26</v>
      </c>
      <c r="R28" s="1" t="s">
        <v>518</v>
      </c>
      <c r="S28" s="2">
        <v>52823.5</v>
      </c>
    </row>
    <row r="29" spans="1:19" x14ac:dyDescent="0.3">
      <c r="A29" s="1" t="s">
        <v>19</v>
      </c>
      <c r="B29" s="1" t="s">
        <v>1499</v>
      </c>
      <c r="C29" s="1" t="s">
        <v>1500</v>
      </c>
      <c r="D29" s="1" t="s">
        <v>1553</v>
      </c>
      <c r="E29" s="1" t="s">
        <v>1554</v>
      </c>
      <c r="F29" s="1" t="s">
        <v>480</v>
      </c>
      <c r="G29" s="1" t="s">
        <v>23</v>
      </c>
      <c r="H29">
        <v>4060200</v>
      </c>
      <c r="I29" s="1" t="s">
        <v>1555</v>
      </c>
      <c r="J29">
        <v>579</v>
      </c>
      <c r="K29">
        <v>579</v>
      </c>
      <c r="L29" s="1" t="s">
        <v>1479</v>
      </c>
      <c r="M29" s="1" t="s">
        <v>1507</v>
      </c>
      <c r="N29">
        <v>43.009166700000002</v>
      </c>
      <c r="O29">
        <v>-87.864000200000007</v>
      </c>
      <c r="P29" s="1" t="s">
        <v>25</v>
      </c>
      <c r="Q29" s="1" t="s">
        <v>26</v>
      </c>
      <c r="R29" s="1" t="s">
        <v>518</v>
      </c>
      <c r="S29" s="2">
        <v>52823.5</v>
      </c>
    </row>
    <row r="30" spans="1:19" x14ac:dyDescent="0.3">
      <c r="A30" s="1" t="s">
        <v>19</v>
      </c>
      <c r="B30" s="1" t="s">
        <v>1499</v>
      </c>
      <c r="C30" s="1" t="s">
        <v>1500</v>
      </c>
      <c r="D30" s="1" t="s">
        <v>1568</v>
      </c>
      <c r="E30" s="1" t="s">
        <v>1569</v>
      </c>
      <c r="F30" s="1" t="s">
        <v>480</v>
      </c>
      <c r="G30" s="1" t="s">
        <v>23</v>
      </c>
      <c r="H30">
        <v>4060200</v>
      </c>
      <c r="I30" s="1" t="s">
        <v>1570</v>
      </c>
      <c r="J30">
        <v>576</v>
      </c>
      <c r="K30">
        <v>576</v>
      </c>
      <c r="L30" s="1" t="s">
        <v>1479</v>
      </c>
      <c r="M30" s="1" t="s">
        <v>1507</v>
      </c>
      <c r="N30">
        <v>42.891166699999999</v>
      </c>
      <c r="O30">
        <v>-87.837667400000001</v>
      </c>
      <c r="P30" s="1" t="s">
        <v>25</v>
      </c>
      <c r="Q30" s="1" t="s">
        <v>26</v>
      </c>
      <c r="R30" s="1" t="s">
        <v>518</v>
      </c>
      <c r="S30" s="2">
        <v>52823.5</v>
      </c>
    </row>
    <row r="31" spans="1:19" x14ac:dyDescent="0.3">
      <c r="A31" s="1" t="s">
        <v>19</v>
      </c>
      <c r="B31" s="1" t="s">
        <v>769</v>
      </c>
      <c r="C31" s="1" t="s">
        <v>770</v>
      </c>
      <c r="D31" s="1" t="s">
        <v>1450</v>
      </c>
      <c r="E31" s="1" t="s">
        <v>1451</v>
      </c>
      <c r="F31" s="1" t="s">
        <v>61</v>
      </c>
      <c r="G31" s="1" t="s">
        <v>23</v>
      </c>
      <c r="H31">
        <v>4150408</v>
      </c>
      <c r="I31" s="1" t="s">
        <v>1452</v>
      </c>
      <c r="J31">
        <v>573</v>
      </c>
      <c r="K31">
        <v>573</v>
      </c>
      <c r="L31" s="1" t="s">
        <v>1415</v>
      </c>
      <c r="M31" s="1" t="s">
        <v>1416</v>
      </c>
      <c r="N31">
        <v>44.564999999999998</v>
      </c>
      <c r="O31">
        <v>-73.208299999999994</v>
      </c>
      <c r="P31" s="1" t="s">
        <v>396</v>
      </c>
      <c r="Q31" s="1" t="s">
        <v>26</v>
      </c>
      <c r="R31" s="1" t="s">
        <v>783</v>
      </c>
      <c r="S31" s="2">
        <v>1117.76</v>
      </c>
    </row>
    <row r="32" spans="1:19" x14ac:dyDescent="0.3">
      <c r="A32" s="1" t="s">
        <v>19</v>
      </c>
      <c r="B32" s="1" t="s">
        <v>1499</v>
      </c>
      <c r="C32" s="1" t="s">
        <v>1500</v>
      </c>
      <c r="D32" s="1" t="s">
        <v>1532</v>
      </c>
      <c r="E32" s="1" t="s">
        <v>1533</v>
      </c>
      <c r="F32" s="1" t="s">
        <v>480</v>
      </c>
      <c r="G32" s="1" t="s">
        <v>23</v>
      </c>
      <c r="H32">
        <v>4060200</v>
      </c>
      <c r="I32" s="1" t="s">
        <v>1534</v>
      </c>
      <c r="J32">
        <v>480</v>
      </c>
      <c r="K32">
        <v>480</v>
      </c>
      <c r="L32" s="1" t="s">
        <v>1479</v>
      </c>
      <c r="M32" s="1" t="s">
        <v>1507</v>
      </c>
      <c r="N32">
        <v>43.037749599999998</v>
      </c>
      <c r="O32">
        <v>-87.889972200000003</v>
      </c>
      <c r="P32" s="1" t="s">
        <v>25</v>
      </c>
      <c r="Q32" s="1" t="s">
        <v>26</v>
      </c>
      <c r="R32" s="1" t="s">
        <v>518</v>
      </c>
      <c r="S32" s="2">
        <v>52823.5</v>
      </c>
    </row>
    <row r="33" spans="1:19" x14ac:dyDescent="0.3">
      <c r="A33" s="1" t="s">
        <v>19</v>
      </c>
      <c r="B33" s="1" t="s">
        <v>769</v>
      </c>
      <c r="C33" s="1" t="s">
        <v>770</v>
      </c>
      <c r="D33" s="1" t="s">
        <v>1439</v>
      </c>
      <c r="E33" s="1" t="s">
        <v>780</v>
      </c>
      <c r="F33" s="1" t="s">
        <v>61</v>
      </c>
      <c r="G33" s="1" t="s">
        <v>23</v>
      </c>
      <c r="H33">
        <v>4150408</v>
      </c>
      <c r="I33" s="1" t="s">
        <v>1440</v>
      </c>
      <c r="J33">
        <v>465</v>
      </c>
      <c r="K33">
        <v>465</v>
      </c>
      <c r="L33" s="1" t="s">
        <v>1415</v>
      </c>
      <c r="M33" s="1" t="s">
        <v>1416</v>
      </c>
      <c r="N33">
        <v>44.546100000000003</v>
      </c>
      <c r="O33">
        <v>-73.327500000000001</v>
      </c>
      <c r="P33" s="1" t="s">
        <v>396</v>
      </c>
      <c r="Q33" s="1" t="s">
        <v>26</v>
      </c>
      <c r="R33" s="1" t="s">
        <v>783</v>
      </c>
      <c r="S33" s="2">
        <v>1117.76</v>
      </c>
    </row>
    <row r="34" spans="1:19" x14ac:dyDescent="0.3">
      <c r="A34" s="1" t="s">
        <v>19</v>
      </c>
      <c r="B34" s="1" t="s">
        <v>476</v>
      </c>
      <c r="C34" s="1" t="s">
        <v>477</v>
      </c>
      <c r="D34" s="1" t="s">
        <v>556</v>
      </c>
      <c r="E34" s="1" t="s">
        <v>557</v>
      </c>
      <c r="F34" s="1" t="s">
        <v>480</v>
      </c>
      <c r="G34" s="1" t="s">
        <v>23</v>
      </c>
      <c r="H34">
        <v>4020300</v>
      </c>
      <c r="I34" s="1" t="s">
        <v>558</v>
      </c>
      <c r="J34">
        <v>431</v>
      </c>
      <c r="K34">
        <v>431</v>
      </c>
      <c r="L34" s="1" t="s">
        <v>402</v>
      </c>
      <c r="M34" s="1" t="s">
        <v>426</v>
      </c>
      <c r="N34">
        <v>47.604075999999999</v>
      </c>
      <c r="O34">
        <v>-86.818133099999997</v>
      </c>
      <c r="P34" s="1" t="s">
        <v>396</v>
      </c>
      <c r="Q34" s="1" t="s">
        <v>26</v>
      </c>
      <c r="R34" s="1" t="s">
        <v>545</v>
      </c>
      <c r="S34" s="2">
        <v>81837.100000000006</v>
      </c>
    </row>
    <row r="35" spans="1:19" x14ac:dyDescent="0.3">
      <c r="A35" s="1" t="s">
        <v>19</v>
      </c>
      <c r="B35" s="1" t="s">
        <v>1499</v>
      </c>
      <c r="C35" s="1" t="s">
        <v>1500</v>
      </c>
      <c r="D35" s="1" t="s">
        <v>1508</v>
      </c>
      <c r="E35" s="1" t="s">
        <v>1505</v>
      </c>
      <c r="F35" s="1" t="s">
        <v>480</v>
      </c>
      <c r="G35" s="1" t="s">
        <v>23</v>
      </c>
      <c r="H35">
        <v>4060200</v>
      </c>
      <c r="I35" s="1" t="s">
        <v>1509</v>
      </c>
      <c r="J35">
        <v>412</v>
      </c>
      <c r="K35">
        <v>412</v>
      </c>
      <c r="L35" s="1" t="s">
        <v>1479</v>
      </c>
      <c r="M35" s="1" t="s">
        <v>1507</v>
      </c>
      <c r="N35">
        <v>42.896666699999997</v>
      </c>
      <c r="O35">
        <v>-87.745000500000003</v>
      </c>
      <c r="P35" s="1" t="s">
        <v>25</v>
      </c>
      <c r="Q35" s="1" t="s">
        <v>26</v>
      </c>
      <c r="R35" s="1" t="s">
        <v>518</v>
      </c>
      <c r="S35" s="2">
        <v>52823.5</v>
      </c>
    </row>
    <row r="36" spans="1:19" x14ac:dyDescent="0.3">
      <c r="A36" s="1" t="s">
        <v>19</v>
      </c>
      <c r="B36" s="1" t="s">
        <v>476</v>
      </c>
      <c r="C36" s="1" t="s">
        <v>477</v>
      </c>
      <c r="D36" s="1" t="s">
        <v>503</v>
      </c>
      <c r="E36" s="1" t="s">
        <v>504</v>
      </c>
      <c r="F36" s="1" t="s">
        <v>480</v>
      </c>
      <c r="G36" s="1" t="s">
        <v>23</v>
      </c>
      <c r="H36">
        <v>4080300</v>
      </c>
      <c r="I36" s="1" t="s">
        <v>505</v>
      </c>
      <c r="J36">
        <v>412</v>
      </c>
      <c r="K36">
        <v>412</v>
      </c>
      <c r="L36" s="1" t="s">
        <v>402</v>
      </c>
      <c r="M36" s="1" t="s">
        <v>502</v>
      </c>
      <c r="N36">
        <v>45.516705799999997</v>
      </c>
      <c r="O36">
        <v>-83.416730599999994</v>
      </c>
      <c r="P36" s="1" t="s">
        <v>396</v>
      </c>
      <c r="Q36" s="1" t="s">
        <v>26</v>
      </c>
      <c r="R36" s="1" t="s">
        <v>483</v>
      </c>
      <c r="S36" s="2">
        <v>42496.7</v>
      </c>
    </row>
    <row r="37" spans="1:19" x14ac:dyDescent="0.3">
      <c r="A37" s="1" t="s">
        <v>19</v>
      </c>
      <c r="B37" s="1" t="s">
        <v>476</v>
      </c>
      <c r="C37" s="1" t="s">
        <v>477</v>
      </c>
      <c r="D37" s="1" t="s">
        <v>576</v>
      </c>
      <c r="E37" s="1" t="s">
        <v>577</v>
      </c>
      <c r="F37" s="1" t="s">
        <v>480</v>
      </c>
      <c r="G37" s="1" t="s">
        <v>23</v>
      </c>
      <c r="H37">
        <v>4060200</v>
      </c>
      <c r="I37" s="1" t="s">
        <v>578</v>
      </c>
      <c r="J37">
        <v>405</v>
      </c>
      <c r="K37">
        <v>405</v>
      </c>
      <c r="L37" s="1" t="s">
        <v>402</v>
      </c>
      <c r="M37" s="1" t="s">
        <v>575</v>
      </c>
      <c r="N37">
        <v>47.169332300000001</v>
      </c>
      <c r="O37">
        <v>-89.658416900000006</v>
      </c>
      <c r="P37" s="1" t="s">
        <v>396</v>
      </c>
      <c r="Q37" s="1" t="s">
        <v>26</v>
      </c>
      <c r="R37" s="1" t="s">
        <v>545</v>
      </c>
      <c r="S37" s="2">
        <v>81837.100000000006</v>
      </c>
    </row>
    <row r="38" spans="1:19" x14ac:dyDescent="0.3">
      <c r="A38" s="1" t="s">
        <v>19</v>
      </c>
      <c r="B38" s="1" t="s">
        <v>476</v>
      </c>
      <c r="C38" s="1" t="s">
        <v>477</v>
      </c>
      <c r="D38" s="1" t="s">
        <v>484</v>
      </c>
      <c r="E38" s="1" t="s">
        <v>485</v>
      </c>
      <c r="F38" s="1" t="s">
        <v>480</v>
      </c>
      <c r="G38" s="1" t="s">
        <v>23</v>
      </c>
      <c r="H38">
        <v>4080300</v>
      </c>
      <c r="I38" s="1" t="s">
        <v>486</v>
      </c>
      <c r="J38">
        <v>381</v>
      </c>
      <c r="K38">
        <v>381</v>
      </c>
      <c r="L38" s="1" t="s">
        <v>402</v>
      </c>
      <c r="M38" s="1" t="s">
        <v>417</v>
      </c>
      <c r="N38">
        <v>44.0000255</v>
      </c>
      <c r="O38">
        <v>-82.349900099999999</v>
      </c>
      <c r="P38" s="1" t="s">
        <v>396</v>
      </c>
      <c r="Q38" s="1" t="s">
        <v>26</v>
      </c>
      <c r="R38" s="1" t="s">
        <v>483</v>
      </c>
      <c r="S38" s="2">
        <v>42496.7</v>
      </c>
    </row>
    <row r="39" spans="1:19" x14ac:dyDescent="0.3">
      <c r="A39" s="1" t="s">
        <v>19</v>
      </c>
      <c r="B39" s="1" t="s">
        <v>476</v>
      </c>
      <c r="C39" s="1" t="s">
        <v>477</v>
      </c>
      <c r="D39" s="1" t="s">
        <v>496</v>
      </c>
      <c r="E39" s="1" t="s">
        <v>497</v>
      </c>
      <c r="F39" s="1" t="s">
        <v>480</v>
      </c>
      <c r="G39" s="1" t="s">
        <v>23</v>
      </c>
      <c r="H39">
        <v>4080300</v>
      </c>
      <c r="I39" s="1" t="s">
        <v>498</v>
      </c>
      <c r="J39">
        <v>378</v>
      </c>
      <c r="K39">
        <v>378</v>
      </c>
      <c r="L39" s="1" t="s">
        <v>402</v>
      </c>
      <c r="M39" s="1" t="s">
        <v>428</v>
      </c>
      <c r="N39">
        <v>45.136654999999998</v>
      </c>
      <c r="O39">
        <v>-82.983256600000004</v>
      </c>
      <c r="P39" s="1" t="s">
        <v>396</v>
      </c>
      <c r="Q39" s="1" t="s">
        <v>26</v>
      </c>
      <c r="R39" s="1" t="s">
        <v>483</v>
      </c>
      <c r="S39" s="2">
        <v>42496.7</v>
      </c>
    </row>
    <row r="40" spans="1:19" x14ac:dyDescent="0.3">
      <c r="A40" s="1" t="s">
        <v>19</v>
      </c>
      <c r="B40" s="1" t="s">
        <v>769</v>
      </c>
      <c r="C40" s="1" t="s">
        <v>770</v>
      </c>
      <c r="D40" s="1" t="s">
        <v>1471</v>
      </c>
      <c r="E40" s="1" t="s">
        <v>1457</v>
      </c>
      <c r="F40" s="1" t="s">
        <v>61</v>
      </c>
      <c r="G40" s="1" t="s">
        <v>23</v>
      </c>
      <c r="H40">
        <v>4150408</v>
      </c>
      <c r="I40" s="1" t="s">
        <v>1472</v>
      </c>
      <c r="J40">
        <v>370</v>
      </c>
      <c r="K40">
        <v>370</v>
      </c>
      <c r="L40" s="1" t="s">
        <v>1415</v>
      </c>
      <c r="M40" s="1" t="s">
        <v>1251</v>
      </c>
      <c r="N40">
        <v>44.9758</v>
      </c>
      <c r="O40">
        <v>-73.215000000000003</v>
      </c>
      <c r="P40" s="1" t="s">
        <v>396</v>
      </c>
      <c r="Q40" s="1" t="s">
        <v>26</v>
      </c>
      <c r="R40" s="1" t="s">
        <v>783</v>
      </c>
      <c r="S40" s="2">
        <v>1117.76</v>
      </c>
    </row>
    <row r="41" spans="1:19" x14ac:dyDescent="0.3">
      <c r="A41" s="1" t="s">
        <v>19</v>
      </c>
      <c r="B41" s="1" t="s">
        <v>476</v>
      </c>
      <c r="C41" s="1" t="s">
        <v>477</v>
      </c>
      <c r="D41" s="1" t="s">
        <v>541</v>
      </c>
      <c r="E41" s="1" t="s">
        <v>542</v>
      </c>
      <c r="F41" s="1" t="s">
        <v>480</v>
      </c>
      <c r="G41" s="1" t="s">
        <v>23</v>
      </c>
      <c r="H41">
        <v>4020300</v>
      </c>
      <c r="I41" s="1" t="s">
        <v>543</v>
      </c>
      <c r="J41">
        <v>357</v>
      </c>
      <c r="K41">
        <v>357</v>
      </c>
      <c r="L41" s="1" t="s">
        <v>402</v>
      </c>
      <c r="M41" s="1" t="s">
        <v>544</v>
      </c>
      <c r="N41">
        <v>46.9929937</v>
      </c>
      <c r="O41">
        <v>-85.161661800000005</v>
      </c>
      <c r="P41" s="1" t="s">
        <v>396</v>
      </c>
      <c r="Q41" s="1" t="s">
        <v>26</v>
      </c>
      <c r="R41" s="1" t="s">
        <v>545</v>
      </c>
      <c r="S41" s="2">
        <v>81837.100000000006</v>
      </c>
    </row>
    <row r="42" spans="1:19" x14ac:dyDescent="0.3">
      <c r="A42" s="1" t="s">
        <v>19</v>
      </c>
      <c r="B42" s="1" t="s">
        <v>1499</v>
      </c>
      <c r="C42" s="1" t="s">
        <v>1500</v>
      </c>
      <c r="D42" s="1" t="s">
        <v>1582</v>
      </c>
      <c r="E42" s="1" t="s">
        <v>1572</v>
      </c>
      <c r="F42" s="1" t="s">
        <v>480</v>
      </c>
      <c r="G42" s="1" t="s">
        <v>23</v>
      </c>
      <c r="H42">
        <v>4060200</v>
      </c>
      <c r="I42" s="1" t="s">
        <v>1583</v>
      </c>
      <c r="J42">
        <v>353</v>
      </c>
      <c r="K42">
        <v>353</v>
      </c>
      <c r="L42" s="1" t="s">
        <v>1479</v>
      </c>
      <c r="M42" s="1" t="s">
        <v>1507</v>
      </c>
      <c r="N42">
        <v>42.888499699999997</v>
      </c>
      <c r="O42">
        <v>-87.837667400000001</v>
      </c>
      <c r="P42" s="1" t="s">
        <v>25</v>
      </c>
      <c r="Q42" s="1" t="s">
        <v>26</v>
      </c>
      <c r="R42" s="1" t="s">
        <v>518</v>
      </c>
      <c r="S42" s="2">
        <v>52823.5</v>
      </c>
    </row>
    <row r="43" spans="1:19" x14ac:dyDescent="0.3">
      <c r="A43" s="1" t="s">
        <v>62</v>
      </c>
      <c r="B43" s="1" t="s">
        <v>718</v>
      </c>
      <c r="C43" s="1" t="s">
        <v>719</v>
      </c>
      <c r="D43" s="1" t="s">
        <v>746</v>
      </c>
      <c r="E43" s="1" t="s">
        <v>747</v>
      </c>
      <c r="F43" s="1" t="s">
        <v>23</v>
      </c>
      <c r="G43" s="1" t="s">
        <v>23</v>
      </c>
      <c r="H43">
        <v>16050304</v>
      </c>
      <c r="I43" s="1" t="s">
        <v>748</v>
      </c>
      <c r="J43">
        <v>339</v>
      </c>
      <c r="K43">
        <v>348</v>
      </c>
      <c r="L43" s="1" t="s">
        <v>723</v>
      </c>
      <c r="M43" s="1" t="s">
        <v>738</v>
      </c>
      <c r="N43">
        <v>38.761188900000001</v>
      </c>
      <c r="O43">
        <v>-118.72505</v>
      </c>
      <c r="P43" s="1" t="s">
        <v>25</v>
      </c>
      <c r="Q43" s="1" t="s">
        <v>26</v>
      </c>
      <c r="R43" s="1" t="s">
        <v>739</v>
      </c>
      <c r="S43" s="2">
        <v>142.54</v>
      </c>
    </row>
    <row r="44" spans="1:19" x14ac:dyDescent="0.3">
      <c r="A44" s="1" t="s">
        <v>19</v>
      </c>
      <c r="B44" s="1" t="s">
        <v>769</v>
      </c>
      <c r="C44" s="1" t="s">
        <v>770</v>
      </c>
      <c r="D44" s="1" t="s">
        <v>1433</v>
      </c>
      <c r="E44" s="1" t="s">
        <v>1425</v>
      </c>
      <c r="F44" s="1" t="s">
        <v>61</v>
      </c>
      <c r="G44" s="1" t="s">
        <v>23</v>
      </c>
      <c r="H44">
        <v>4150408</v>
      </c>
      <c r="I44" s="1" t="s">
        <v>1434</v>
      </c>
      <c r="J44">
        <v>344</v>
      </c>
      <c r="K44">
        <v>344</v>
      </c>
      <c r="L44" s="1" t="s">
        <v>1415</v>
      </c>
      <c r="M44" s="1" t="s">
        <v>1416</v>
      </c>
      <c r="N44">
        <v>44.262999999999998</v>
      </c>
      <c r="O44">
        <v>-73.287000000000006</v>
      </c>
      <c r="P44" s="1" t="s">
        <v>396</v>
      </c>
      <c r="Q44" s="1" t="s">
        <v>26</v>
      </c>
      <c r="R44" s="1" t="s">
        <v>783</v>
      </c>
      <c r="S44" s="2">
        <v>1117.76</v>
      </c>
    </row>
    <row r="45" spans="1:19" x14ac:dyDescent="0.3">
      <c r="A45" s="1" t="s">
        <v>62</v>
      </c>
      <c r="B45" s="1" t="s">
        <v>942</v>
      </c>
      <c r="C45" s="1" t="s">
        <v>943</v>
      </c>
      <c r="D45" s="1" t="s">
        <v>971</v>
      </c>
      <c r="E45" s="1" t="s">
        <v>972</v>
      </c>
      <c r="F45" s="1" t="s">
        <v>23</v>
      </c>
      <c r="G45" s="1" t="s">
        <v>23</v>
      </c>
      <c r="H45">
        <v>18010203</v>
      </c>
      <c r="I45" s="1" t="s">
        <v>973</v>
      </c>
      <c r="J45">
        <v>343</v>
      </c>
      <c r="K45">
        <v>343</v>
      </c>
      <c r="L45" s="1" t="s">
        <v>947</v>
      </c>
      <c r="M45" s="1" t="s">
        <v>948</v>
      </c>
      <c r="N45">
        <v>42.439164900000002</v>
      </c>
      <c r="O45">
        <v>-122.01223880000001</v>
      </c>
      <c r="P45" s="1" t="s">
        <v>25</v>
      </c>
      <c r="Q45" s="1" t="s">
        <v>26</v>
      </c>
      <c r="R45" s="1" t="s">
        <v>949</v>
      </c>
      <c r="S45" s="2">
        <v>228.505</v>
      </c>
    </row>
    <row r="46" spans="1:19" x14ac:dyDescent="0.3">
      <c r="A46" s="1" t="s">
        <v>19</v>
      </c>
      <c r="B46" s="1" t="s">
        <v>476</v>
      </c>
      <c r="C46" s="1" t="s">
        <v>477</v>
      </c>
      <c r="D46" s="1" t="s">
        <v>535</v>
      </c>
      <c r="E46" s="1" t="s">
        <v>536</v>
      </c>
      <c r="F46" s="1" t="s">
        <v>480</v>
      </c>
      <c r="G46" s="1" t="s">
        <v>23</v>
      </c>
      <c r="H46">
        <v>4060200</v>
      </c>
      <c r="I46" s="1" t="s">
        <v>537</v>
      </c>
      <c r="J46">
        <v>326</v>
      </c>
      <c r="K46">
        <v>326</v>
      </c>
      <c r="L46" s="1" t="s">
        <v>402</v>
      </c>
      <c r="M46" s="1" t="s">
        <v>429</v>
      </c>
      <c r="N46">
        <v>44.736680499999999</v>
      </c>
      <c r="O46">
        <v>-86.721841100000006</v>
      </c>
      <c r="P46" s="1" t="s">
        <v>25</v>
      </c>
      <c r="Q46" s="1" t="s">
        <v>26</v>
      </c>
      <c r="R46" s="1" t="s">
        <v>518</v>
      </c>
      <c r="S46" s="2">
        <v>52823.5</v>
      </c>
    </row>
    <row r="47" spans="1:19" x14ac:dyDescent="0.3">
      <c r="A47" s="1" t="s">
        <v>62</v>
      </c>
      <c r="B47" s="1" t="s">
        <v>942</v>
      </c>
      <c r="C47" s="1" t="s">
        <v>943</v>
      </c>
      <c r="D47" s="1" t="s">
        <v>959</v>
      </c>
      <c r="E47" s="1" t="s">
        <v>960</v>
      </c>
      <c r="F47" s="1" t="s">
        <v>23</v>
      </c>
      <c r="G47" s="1" t="s">
        <v>23</v>
      </c>
      <c r="H47">
        <v>18010203</v>
      </c>
      <c r="I47" s="1" t="s">
        <v>961</v>
      </c>
      <c r="J47">
        <v>325</v>
      </c>
      <c r="K47">
        <v>325</v>
      </c>
      <c r="L47" s="1" t="s">
        <v>947</v>
      </c>
      <c r="M47" s="1" t="s">
        <v>948</v>
      </c>
      <c r="N47">
        <v>42.384689199999997</v>
      </c>
      <c r="O47">
        <v>-121.9286044</v>
      </c>
      <c r="P47" s="1" t="s">
        <v>25</v>
      </c>
      <c r="Q47" s="1" t="s">
        <v>26</v>
      </c>
      <c r="R47" s="1" t="s">
        <v>949</v>
      </c>
      <c r="S47" s="2">
        <v>228.505</v>
      </c>
    </row>
    <row r="48" spans="1:19" x14ac:dyDescent="0.3">
      <c r="A48" s="1" t="s">
        <v>19</v>
      </c>
      <c r="B48" s="1" t="s">
        <v>476</v>
      </c>
      <c r="C48" s="1" t="s">
        <v>477</v>
      </c>
      <c r="D48" s="1" t="s">
        <v>519</v>
      </c>
      <c r="E48" s="1" t="s">
        <v>520</v>
      </c>
      <c r="F48" s="1" t="s">
        <v>480</v>
      </c>
      <c r="G48" s="1" t="s">
        <v>23</v>
      </c>
      <c r="H48">
        <v>4060200</v>
      </c>
      <c r="I48" s="1" t="s">
        <v>521</v>
      </c>
      <c r="J48">
        <v>308</v>
      </c>
      <c r="K48">
        <v>308</v>
      </c>
      <c r="L48" s="1" t="s">
        <v>402</v>
      </c>
      <c r="M48" s="1" t="s">
        <v>427</v>
      </c>
      <c r="N48">
        <v>42.7333456</v>
      </c>
      <c r="O48">
        <v>-87.000102799999993</v>
      </c>
      <c r="P48" s="1" t="s">
        <v>25</v>
      </c>
      <c r="Q48" s="1" t="s">
        <v>26</v>
      </c>
      <c r="R48" s="1" t="s">
        <v>518</v>
      </c>
      <c r="S48" s="2">
        <v>52823.5</v>
      </c>
    </row>
    <row r="49" spans="1:19" x14ac:dyDescent="0.3">
      <c r="A49" s="1" t="s">
        <v>62</v>
      </c>
      <c r="B49" s="1" t="s">
        <v>942</v>
      </c>
      <c r="C49" s="1" t="s">
        <v>943</v>
      </c>
      <c r="D49" s="1" t="s">
        <v>974</v>
      </c>
      <c r="E49" s="1" t="s">
        <v>975</v>
      </c>
      <c r="F49" s="1" t="s">
        <v>23</v>
      </c>
      <c r="G49" s="1" t="s">
        <v>23</v>
      </c>
      <c r="H49">
        <v>18010203</v>
      </c>
      <c r="I49" s="1" t="s">
        <v>976</v>
      </c>
      <c r="J49">
        <v>307</v>
      </c>
      <c r="K49">
        <v>307</v>
      </c>
      <c r="L49" s="1" t="s">
        <v>947</v>
      </c>
      <c r="M49" s="1" t="s">
        <v>948</v>
      </c>
      <c r="N49">
        <v>42.455248400000002</v>
      </c>
      <c r="O49">
        <v>-121.95490390000001</v>
      </c>
      <c r="P49" s="1" t="s">
        <v>25</v>
      </c>
      <c r="Q49" s="1" t="s">
        <v>26</v>
      </c>
      <c r="R49" s="1" t="s">
        <v>949</v>
      </c>
      <c r="S49" s="2">
        <v>228.505</v>
      </c>
    </row>
    <row r="50" spans="1:19" x14ac:dyDescent="0.3">
      <c r="A50" s="1" t="s">
        <v>19</v>
      </c>
      <c r="B50" s="1" t="s">
        <v>769</v>
      </c>
      <c r="C50" s="1" t="s">
        <v>770</v>
      </c>
      <c r="D50" s="1" t="s">
        <v>803</v>
      </c>
      <c r="E50" s="1" t="s">
        <v>780</v>
      </c>
      <c r="F50" s="1" t="s">
        <v>61</v>
      </c>
      <c r="G50" s="1" t="s">
        <v>23</v>
      </c>
      <c r="H50">
        <v>4150408</v>
      </c>
      <c r="I50" s="1" t="s">
        <v>804</v>
      </c>
      <c r="J50">
        <v>297</v>
      </c>
      <c r="K50">
        <v>297</v>
      </c>
      <c r="L50" s="1" t="s">
        <v>776</v>
      </c>
      <c r="M50" s="1" t="s">
        <v>782</v>
      </c>
      <c r="N50">
        <v>44.268300000000004</v>
      </c>
      <c r="O50">
        <v>-73.312200000000004</v>
      </c>
      <c r="P50" s="1" t="s">
        <v>396</v>
      </c>
      <c r="Q50" s="1" t="s">
        <v>26</v>
      </c>
      <c r="R50" s="1" t="s">
        <v>783</v>
      </c>
      <c r="S50" s="2">
        <v>1117.76</v>
      </c>
    </row>
    <row r="51" spans="1:19" x14ac:dyDescent="0.3">
      <c r="A51" s="1" t="s">
        <v>19</v>
      </c>
      <c r="B51" s="1" t="s">
        <v>1499</v>
      </c>
      <c r="C51" s="1" t="s">
        <v>1500</v>
      </c>
      <c r="D51" s="1" t="s">
        <v>1590</v>
      </c>
      <c r="E51" s="1" t="s">
        <v>1572</v>
      </c>
      <c r="F51" s="1" t="s">
        <v>480</v>
      </c>
      <c r="G51" s="1" t="s">
        <v>23</v>
      </c>
      <c r="H51">
        <v>4060200</v>
      </c>
      <c r="I51" s="1" t="s">
        <v>1591</v>
      </c>
      <c r="J51">
        <v>292</v>
      </c>
      <c r="K51">
        <v>292</v>
      </c>
      <c r="L51" s="1" t="s">
        <v>1479</v>
      </c>
      <c r="M51" s="1" t="s">
        <v>1507</v>
      </c>
      <c r="N51">
        <v>42.891166699999999</v>
      </c>
      <c r="O51">
        <v>-87.826667400000005</v>
      </c>
      <c r="P51" s="1" t="s">
        <v>25</v>
      </c>
      <c r="Q51" s="1" t="s">
        <v>26</v>
      </c>
      <c r="R51" s="1" t="s">
        <v>518</v>
      </c>
      <c r="S51" s="2">
        <v>52823.5</v>
      </c>
    </row>
    <row r="52" spans="1:19" x14ac:dyDescent="0.3">
      <c r="A52" s="1" t="s">
        <v>19</v>
      </c>
      <c r="B52" s="1" t="s">
        <v>1499</v>
      </c>
      <c r="C52" s="1" t="s">
        <v>1500</v>
      </c>
      <c r="D52" s="1" t="s">
        <v>1501</v>
      </c>
      <c r="E52" s="1" t="s">
        <v>1502</v>
      </c>
      <c r="F52" s="1" t="s">
        <v>480</v>
      </c>
      <c r="G52" s="1" t="s">
        <v>23</v>
      </c>
      <c r="H52">
        <v>4060200</v>
      </c>
      <c r="I52" s="1" t="s">
        <v>1503</v>
      </c>
      <c r="J52">
        <v>288</v>
      </c>
      <c r="K52">
        <v>288</v>
      </c>
      <c r="L52" s="1" t="s">
        <v>1479</v>
      </c>
      <c r="M52" s="1" t="s">
        <v>1483</v>
      </c>
      <c r="N52">
        <v>42.776666800000001</v>
      </c>
      <c r="O52">
        <v>-87.701667700000002</v>
      </c>
      <c r="P52" s="1" t="s">
        <v>25</v>
      </c>
      <c r="Q52" s="1" t="s">
        <v>26</v>
      </c>
      <c r="R52" s="1" t="s">
        <v>518</v>
      </c>
      <c r="S52" s="2">
        <v>52823.5</v>
      </c>
    </row>
    <row r="53" spans="1:19" x14ac:dyDescent="0.3">
      <c r="A53" s="1" t="s">
        <v>19</v>
      </c>
      <c r="B53" s="1" t="s">
        <v>1499</v>
      </c>
      <c r="C53" s="1" t="s">
        <v>1500</v>
      </c>
      <c r="D53" s="1" t="s">
        <v>1504</v>
      </c>
      <c r="E53" s="1" t="s">
        <v>1505</v>
      </c>
      <c r="F53" s="1" t="s">
        <v>480</v>
      </c>
      <c r="G53" s="1" t="s">
        <v>23</v>
      </c>
      <c r="H53">
        <v>4060200</v>
      </c>
      <c r="I53" s="1" t="s">
        <v>1506</v>
      </c>
      <c r="J53">
        <v>288</v>
      </c>
      <c r="K53">
        <v>288</v>
      </c>
      <c r="L53" s="1" t="s">
        <v>1479</v>
      </c>
      <c r="M53" s="1" t="s">
        <v>1507</v>
      </c>
      <c r="N53">
        <v>42.896666699999997</v>
      </c>
      <c r="O53">
        <v>-87.805000399999997</v>
      </c>
      <c r="P53" s="1" t="s">
        <v>25</v>
      </c>
      <c r="Q53" s="1" t="s">
        <v>26</v>
      </c>
      <c r="R53" s="1" t="s">
        <v>518</v>
      </c>
      <c r="S53" s="2">
        <v>52823.5</v>
      </c>
    </row>
    <row r="54" spans="1:19" x14ac:dyDescent="0.3">
      <c r="A54" s="1" t="s">
        <v>19</v>
      </c>
      <c r="B54" s="1" t="s">
        <v>1499</v>
      </c>
      <c r="C54" s="1" t="s">
        <v>1500</v>
      </c>
      <c r="D54" s="1" t="s">
        <v>1510</v>
      </c>
      <c r="E54" s="1" t="s">
        <v>1511</v>
      </c>
      <c r="F54" s="1" t="s">
        <v>480</v>
      </c>
      <c r="G54" s="1" t="s">
        <v>23</v>
      </c>
      <c r="H54">
        <v>4060200</v>
      </c>
      <c r="I54" s="1" t="s">
        <v>1512</v>
      </c>
      <c r="J54">
        <v>288</v>
      </c>
      <c r="K54">
        <v>288</v>
      </c>
      <c r="L54" s="1" t="s">
        <v>1479</v>
      </c>
      <c r="M54" s="1" t="s">
        <v>1507</v>
      </c>
      <c r="N54">
        <v>42.966666699999998</v>
      </c>
      <c r="O54">
        <v>-87.841667299999997</v>
      </c>
      <c r="P54" s="1" t="s">
        <v>25</v>
      </c>
      <c r="Q54" s="1" t="s">
        <v>26</v>
      </c>
      <c r="R54" s="1" t="s">
        <v>518</v>
      </c>
      <c r="S54" s="2">
        <v>52823.5</v>
      </c>
    </row>
    <row r="55" spans="1:19" x14ac:dyDescent="0.3">
      <c r="A55" s="1" t="s">
        <v>19</v>
      </c>
      <c r="B55" s="1" t="s">
        <v>1499</v>
      </c>
      <c r="C55" s="1" t="s">
        <v>1500</v>
      </c>
      <c r="D55" s="1" t="s">
        <v>1513</v>
      </c>
      <c r="E55" s="1" t="s">
        <v>1511</v>
      </c>
      <c r="F55" s="1" t="s">
        <v>480</v>
      </c>
      <c r="G55" s="1" t="s">
        <v>23</v>
      </c>
      <c r="H55">
        <v>4060200</v>
      </c>
      <c r="I55" s="1" t="s">
        <v>1514</v>
      </c>
      <c r="J55">
        <v>288</v>
      </c>
      <c r="K55">
        <v>288</v>
      </c>
      <c r="L55" s="1" t="s">
        <v>1479</v>
      </c>
      <c r="M55" s="1" t="s">
        <v>1507</v>
      </c>
      <c r="N55">
        <v>42.966666699999998</v>
      </c>
      <c r="O55">
        <v>-87.806667300000001</v>
      </c>
      <c r="P55" s="1" t="s">
        <v>25</v>
      </c>
      <c r="Q55" s="1" t="s">
        <v>26</v>
      </c>
      <c r="R55" s="1" t="s">
        <v>518</v>
      </c>
      <c r="S55" s="2">
        <v>52823.5</v>
      </c>
    </row>
    <row r="56" spans="1:19" x14ac:dyDescent="0.3">
      <c r="A56" s="1" t="s">
        <v>19</v>
      </c>
      <c r="B56" s="1" t="s">
        <v>1499</v>
      </c>
      <c r="C56" s="1" t="s">
        <v>1500</v>
      </c>
      <c r="D56" s="1" t="s">
        <v>1518</v>
      </c>
      <c r="E56" s="1" t="s">
        <v>1516</v>
      </c>
      <c r="F56" s="1" t="s">
        <v>480</v>
      </c>
      <c r="G56" s="1" t="s">
        <v>23</v>
      </c>
      <c r="H56">
        <v>4060200</v>
      </c>
      <c r="I56" s="1" t="s">
        <v>1519</v>
      </c>
      <c r="J56">
        <v>282</v>
      </c>
      <c r="K56">
        <v>282</v>
      </c>
      <c r="L56" s="1" t="s">
        <v>1479</v>
      </c>
      <c r="M56" s="1" t="s">
        <v>1507</v>
      </c>
      <c r="N56">
        <v>43.079999700000002</v>
      </c>
      <c r="O56">
        <v>-87.805000199999995</v>
      </c>
      <c r="P56" s="1" t="s">
        <v>25</v>
      </c>
      <c r="Q56" s="1" t="s">
        <v>26</v>
      </c>
      <c r="R56" s="1" t="s">
        <v>518</v>
      </c>
      <c r="S56" s="2">
        <v>52823.5</v>
      </c>
    </row>
    <row r="57" spans="1:19" x14ac:dyDescent="0.3">
      <c r="A57" s="1" t="s">
        <v>19</v>
      </c>
      <c r="B57" s="1" t="s">
        <v>769</v>
      </c>
      <c r="C57" s="1" t="s">
        <v>770</v>
      </c>
      <c r="D57" s="1" t="s">
        <v>1437</v>
      </c>
      <c r="E57" s="1" t="s">
        <v>1418</v>
      </c>
      <c r="F57" s="1" t="s">
        <v>61</v>
      </c>
      <c r="G57" s="1" t="s">
        <v>23</v>
      </c>
      <c r="H57">
        <v>4150408</v>
      </c>
      <c r="I57" s="1" t="s">
        <v>1438</v>
      </c>
      <c r="J57">
        <v>282</v>
      </c>
      <c r="K57">
        <v>282</v>
      </c>
      <c r="L57" s="1" t="s">
        <v>1415</v>
      </c>
      <c r="M57" s="1" t="s">
        <v>1251</v>
      </c>
      <c r="N57">
        <v>44.9178</v>
      </c>
      <c r="O57">
        <v>-73.186400000000006</v>
      </c>
      <c r="P57" s="1" t="s">
        <v>396</v>
      </c>
      <c r="Q57" s="1" t="s">
        <v>26</v>
      </c>
      <c r="R57" s="1" t="s">
        <v>783</v>
      </c>
      <c r="S57" s="2">
        <v>1117.76</v>
      </c>
    </row>
    <row r="58" spans="1:19" x14ac:dyDescent="0.3">
      <c r="A58" s="1" t="s">
        <v>19</v>
      </c>
      <c r="B58" s="1" t="s">
        <v>1499</v>
      </c>
      <c r="C58" s="1" t="s">
        <v>1500</v>
      </c>
      <c r="D58" s="1" t="s">
        <v>1515</v>
      </c>
      <c r="E58" s="1" t="s">
        <v>1516</v>
      </c>
      <c r="F58" s="1" t="s">
        <v>480</v>
      </c>
      <c r="G58" s="1" t="s">
        <v>23</v>
      </c>
      <c r="H58">
        <v>4060200</v>
      </c>
      <c r="I58" s="1" t="s">
        <v>1517</v>
      </c>
      <c r="J58">
        <v>281</v>
      </c>
      <c r="K58">
        <v>281</v>
      </c>
      <c r="L58" s="1" t="s">
        <v>1479</v>
      </c>
      <c r="M58" s="1" t="s">
        <v>1507</v>
      </c>
      <c r="N58">
        <v>43.078332600000003</v>
      </c>
      <c r="O58">
        <v>-87.846667100000005</v>
      </c>
      <c r="P58" s="1" t="s">
        <v>25</v>
      </c>
      <c r="Q58" s="1" t="s">
        <v>26</v>
      </c>
      <c r="R58" s="1" t="s">
        <v>518</v>
      </c>
      <c r="S58" s="2">
        <v>52823.5</v>
      </c>
    </row>
    <row r="59" spans="1:19" x14ac:dyDescent="0.3">
      <c r="A59" s="1" t="s">
        <v>19</v>
      </c>
      <c r="B59" s="1" t="s">
        <v>1499</v>
      </c>
      <c r="C59" s="1" t="s">
        <v>1500</v>
      </c>
      <c r="D59" s="1" t="s">
        <v>1520</v>
      </c>
      <c r="E59" s="1" t="s">
        <v>1521</v>
      </c>
      <c r="F59" s="1" t="s">
        <v>480</v>
      </c>
      <c r="G59" s="1" t="s">
        <v>23</v>
      </c>
      <c r="H59">
        <v>4060200</v>
      </c>
      <c r="I59" s="1" t="s">
        <v>1522</v>
      </c>
      <c r="J59">
        <v>280</v>
      </c>
      <c r="K59">
        <v>280</v>
      </c>
      <c r="L59" s="1" t="s">
        <v>1479</v>
      </c>
      <c r="M59" s="1" t="s">
        <v>1507</v>
      </c>
      <c r="N59">
        <v>43.1666667</v>
      </c>
      <c r="O59">
        <v>-87.745000099999999</v>
      </c>
      <c r="P59" s="1" t="s">
        <v>25</v>
      </c>
      <c r="Q59" s="1" t="s">
        <v>26</v>
      </c>
      <c r="R59" s="1" t="s">
        <v>518</v>
      </c>
      <c r="S59" s="2">
        <v>52823.5</v>
      </c>
    </row>
    <row r="60" spans="1:19" x14ac:dyDescent="0.3">
      <c r="A60" s="1" t="s">
        <v>19</v>
      </c>
      <c r="B60" s="1" t="s">
        <v>476</v>
      </c>
      <c r="C60" s="1" t="s">
        <v>477</v>
      </c>
      <c r="D60" s="1" t="s">
        <v>529</v>
      </c>
      <c r="E60" s="1" t="s">
        <v>530</v>
      </c>
      <c r="F60" s="1" t="s">
        <v>480</v>
      </c>
      <c r="G60" s="1" t="s">
        <v>23</v>
      </c>
      <c r="H60">
        <v>4060200</v>
      </c>
      <c r="I60" s="1" t="s">
        <v>531</v>
      </c>
      <c r="J60">
        <v>277</v>
      </c>
      <c r="K60">
        <v>277</v>
      </c>
      <c r="L60" s="1" t="s">
        <v>402</v>
      </c>
      <c r="M60" s="1" t="s">
        <v>437</v>
      </c>
      <c r="N60">
        <v>43.599888999999997</v>
      </c>
      <c r="O60">
        <v>-86.916636800000006</v>
      </c>
      <c r="P60" s="1" t="s">
        <v>25</v>
      </c>
      <c r="Q60" s="1" t="s">
        <v>26</v>
      </c>
      <c r="R60" s="1" t="s">
        <v>518</v>
      </c>
      <c r="S60" s="2">
        <v>52823.5</v>
      </c>
    </row>
    <row r="61" spans="1:19" x14ac:dyDescent="0.3">
      <c r="A61" s="1" t="s">
        <v>19</v>
      </c>
      <c r="B61" s="1" t="s">
        <v>769</v>
      </c>
      <c r="C61" s="1" t="s">
        <v>770</v>
      </c>
      <c r="D61" s="1" t="s">
        <v>1443</v>
      </c>
      <c r="E61" s="1" t="s">
        <v>1421</v>
      </c>
      <c r="F61" s="1" t="s">
        <v>61</v>
      </c>
      <c r="G61" s="1" t="s">
        <v>23</v>
      </c>
      <c r="H61">
        <v>4150408</v>
      </c>
      <c r="I61" s="1" t="s">
        <v>1444</v>
      </c>
      <c r="J61">
        <v>276</v>
      </c>
      <c r="K61">
        <v>276</v>
      </c>
      <c r="L61" s="1" t="s">
        <v>1415</v>
      </c>
      <c r="M61" s="1" t="s">
        <v>1423</v>
      </c>
      <c r="N61">
        <v>44.184199999999997</v>
      </c>
      <c r="O61">
        <v>-73.381100000000004</v>
      </c>
      <c r="P61" s="1" t="s">
        <v>396</v>
      </c>
      <c r="Q61" s="1" t="s">
        <v>26</v>
      </c>
      <c r="R61" s="1" t="s">
        <v>783</v>
      </c>
      <c r="S61" s="2">
        <v>1117.76</v>
      </c>
    </row>
    <row r="62" spans="1:19" x14ac:dyDescent="0.3">
      <c r="A62" s="1" t="s">
        <v>19</v>
      </c>
      <c r="B62" s="1" t="s">
        <v>476</v>
      </c>
      <c r="C62" s="1" t="s">
        <v>477</v>
      </c>
      <c r="D62" s="1" t="s">
        <v>810</v>
      </c>
      <c r="E62" s="1" t="s">
        <v>811</v>
      </c>
      <c r="F62" s="1" t="s">
        <v>480</v>
      </c>
      <c r="G62" s="1" t="s">
        <v>23</v>
      </c>
      <c r="H62">
        <v>4150200</v>
      </c>
      <c r="I62" s="1" t="s">
        <v>812</v>
      </c>
      <c r="J62">
        <v>274</v>
      </c>
      <c r="K62">
        <v>274</v>
      </c>
      <c r="L62" s="1" t="s">
        <v>776</v>
      </c>
      <c r="M62" s="1" t="s">
        <v>362</v>
      </c>
      <c r="N62">
        <v>43.442905099999997</v>
      </c>
      <c r="O62">
        <v>-77.438446600000006</v>
      </c>
      <c r="P62" s="1" t="s">
        <v>396</v>
      </c>
      <c r="Q62" s="1" t="s">
        <v>26</v>
      </c>
      <c r="R62" s="1" t="s">
        <v>809</v>
      </c>
      <c r="S62" s="2">
        <v>18934.7</v>
      </c>
    </row>
    <row r="63" spans="1:19" x14ac:dyDescent="0.3">
      <c r="A63" s="1" t="s">
        <v>19</v>
      </c>
      <c r="B63" s="1" t="s">
        <v>476</v>
      </c>
      <c r="C63" s="1" t="s">
        <v>477</v>
      </c>
      <c r="D63" s="1" t="s">
        <v>805</v>
      </c>
      <c r="E63" s="1" t="s">
        <v>806</v>
      </c>
      <c r="F63" s="1" t="s">
        <v>480</v>
      </c>
      <c r="G63" s="1" t="s">
        <v>23</v>
      </c>
      <c r="H63">
        <v>4150200</v>
      </c>
      <c r="I63" s="1" t="s">
        <v>807</v>
      </c>
      <c r="J63">
        <v>270</v>
      </c>
      <c r="K63">
        <v>270</v>
      </c>
      <c r="L63" s="1" t="s">
        <v>776</v>
      </c>
      <c r="M63" s="1" t="s">
        <v>808</v>
      </c>
      <c r="N63">
        <v>43.596605199999999</v>
      </c>
      <c r="O63">
        <v>-78.774414300000004</v>
      </c>
      <c r="P63" s="1" t="s">
        <v>396</v>
      </c>
      <c r="Q63" s="1" t="s">
        <v>26</v>
      </c>
      <c r="R63" s="1" t="s">
        <v>809</v>
      </c>
      <c r="S63" s="2">
        <v>18934.7</v>
      </c>
    </row>
    <row r="64" spans="1:19" x14ac:dyDescent="0.3">
      <c r="A64" s="1" t="s">
        <v>19</v>
      </c>
      <c r="B64" s="1" t="s">
        <v>289</v>
      </c>
      <c r="C64" s="1" t="s">
        <v>290</v>
      </c>
      <c r="D64" s="1" t="s">
        <v>295</v>
      </c>
      <c r="E64" s="1" t="s">
        <v>296</v>
      </c>
      <c r="F64" s="1" t="s">
        <v>61</v>
      </c>
      <c r="G64" s="1" t="s">
        <v>23</v>
      </c>
      <c r="H64">
        <v>3080101</v>
      </c>
      <c r="I64" s="1" t="s">
        <v>297</v>
      </c>
      <c r="J64">
        <v>130</v>
      </c>
      <c r="K64">
        <v>260</v>
      </c>
      <c r="L64" s="1" t="s">
        <v>127</v>
      </c>
      <c r="M64" s="1" t="s">
        <v>172</v>
      </c>
      <c r="N64">
        <v>29.254950000000001</v>
      </c>
      <c r="O64">
        <v>-81.591166700000002</v>
      </c>
      <c r="P64" s="1" t="s">
        <v>25</v>
      </c>
      <c r="Q64" s="1" t="s">
        <v>26</v>
      </c>
      <c r="R64" s="1" t="s">
        <v>173</v>
      </c>
      <c r="S64" s="2">
        <v>214.29</v>
      </c>
    </row>
    <row r="65" spans="1:19" x14ac:dyDescent="0.3">
      <c r="A65" s="1" t="s">
        <v>19</v>
      </c>
      <c r="B65" s="1" t="s">
        <v>476</v>
      </c>
      <c r="C65" s="1" t="s">
        <v>477</v>
      </c>
      <c r="D65" s="1" t="s">
        <v>493</v>
      </c>
      <c r="E65" s="1" t="s">
        <v>494</v>
      </c>
      <c r="F65" s="1" t="s">
        <v>480</v>
      </c>
      <c r="G65" s="1" t="s">
        <v>23</v>
      </c>
      <c r="H65">
        <v>4080300</v>
      </c>
      <c r="I65" s="1" t="s">
        <v>495</v>
      </c>
      <c r="J65">
        <v>258</v>
      </c>
      <c r="K65">
        <v>258</v>
      </c>
      <c r="L65" s="1" t="s">
        <v>402</v>
      </c>
      <c r="M65" s="1" t="s">
        <v>425</v>
      </c>
      <c r="N65">
        <v>44.761664500000002</v>
      </c>
      <c r="O65">
        <v>-82.783346300000005</v>
      </c>
      <c r="P65" s="1" t="s">
        <v>396</v>
      </c>
      <c r="Q65" s="1" t="s">
        <v>26</v>
      </c>
      <c r="R65" s="1" t="s">
        <v>483</v>
      </c>
      <c r="S65" s="2">
        <v>42496.7</v>
      </c>
    </row>
    <row r="66" spans="1:19" x14ac:dyDescent="0.3">
      <c r="A66" s="1" t="s">
        <v>19</v>
      </c>
      <c r="B66" s="1" t="s">
        <v>354</v>
      </c>
      <c r="C66" s="1" t="s">
        <v>355</v>
      </c>
      <c r="D66" s="1" t="s">
        <v>356</v>
      </c>
      <c r="E66" s="1" t="s">
        <v>357</v>
      </c>
      <c r="F66" s="1" t="s">
        <v>61</v>
      </c>
      <c r="G66" s="1" t="s">
        <v>23</v>
      </c>
      <c r="H66">
        <v>17050123</v>
      </c>
      <c r="I66" s="1" t="s">
        <v>358</v>
      </c>
      <c r="J66">
        <v>257</v>
      </c>
      <c r="K66">
        <v>257</v>
      </c>
      <c r="L66" s="1" t="s">
        <v>332</v>
      </c>
      <c r="M66" s="1" t="s">
        <v>333</v>
      </c>
      <c r="N66">
        <v>44.669296000000003</v>
      </c>
      <c r="O66">
        <v>-116.101201</v>
      </c>
      <c r="P66" s="1" t="s">
        <v>25</v>
      </c>
      <c r="Q66" s="1" t="s">
        <v>1594</v>
      </c>
      <c r="R66" s="1" t="s">
        <v>350</v>
      </c>
      <c r="S66" s="2">
        <v>105.286</v>
      </c>
    </row>
    <row r="67" spans="1:19" x14ac:dyDescent="0.3">
      <c r="A67" s="1" t="s">
        <v>19</v>
      </c>
      <c r="B67" s="1" t="s">
        <v>769</v>
      </c>
      <c r="C67" s="1" t="s">
        <v>770</v>
      </c>
      <c r="D67" s="1" t="s">
        <v>1469</v>
      </c>
      <c r="E67" s="1" t="s">
        <v>1418</v>
      </c>
      <c r="F67" s="1" t="s">
        <v>61</v>
      </c>
      <c r="G67" s="1" t="s">
        <v>23</v>
      </c>
      <c r="H67">
        <v>4150408</v>
      </c>
      <c r="I67" s="1" t="s">
        <v>1470</v>
      </c>
      <c r="J67">
        <v>253</v>
      </c>
      <c r="K67">
        <v>253</v>
      </c>
      <c r="L67" s="1" t="s">
        <v>1415</v>
      </c>
      <c r="M67" s="1" t="s">
        <v>1432</v>
      </c>
      <c r="N67">
        <v>44.839700000000001</v>
      </c>
      <c r="O67">
        <v>-73.296700000000001</v>
      </c>
      <c r="P67" s="1" t="s">
        <v>396</v>
      </c>
      <c r="Q67" s="1" t="s">
        <v>26</v>
      </c>
      <c r="R67" s="1" t="s">
        <v>783</v>
      </c>
      <c r="S67" s="2">
        <v>1117.76</v>
      </c>
    </row>
    <row r="68" spans="1:19" x14ac:dyDescent="0.3">
      <c r="A68" s="1" t="s">
        <v>62</v>
      </c>
      <c r="B68" s="1" t="s">
        <v>942</v>
      </c>
      <c r="C68" s="1" t="s">
        <v>943</v>
      </c>
      <c r="D68" s="1" t="s">
        <v>956</v>
      </c>
      <c r="E68" s="1" t="s">
        <v>957</v>
      </c>
      <c r="F68" s="1" t="s">
        <v>23</v>
      </c>
      <c r="G68" s="1" t="s">
        <v>23</v>
      </c>
      <c r="H68">
        <v>18010203</v>
      </c>
      <c r="I68" s="1" t="s">
        <v>958</v>
      </c>
      <c r="J68">
        <v>253</v>
      </c>
      <c r="K68">
        <v>253</v>
      </c>
      <c r="L68" s="1" t="s">
        <v>947</v>
      </c>
      <c r="M68" s="1" t="s">
        <v>948</v>
      </c>
      <c r="N68">
        <v>42.344752</v>
      </c>
      <c r="O68">
        <v>-121.8598427</v>
      </c>
      <c r="P68" s="1" t="s">
        <v>25</v>
      </c>
      <c r="Q68" s="1" t="s">
        <v>26</v>
      </c>
      <c r="R68" s="1" t="s">
        <v>949</v>
      </c>
      <c r="S68" s="2">
        <v>228.505</v>
      </c>
    </row>
    <row r="69" spans="1:19" x14ac:dyDescent="0.3">
      <c r="A69" s="1" t="s">
        <v>19</v>
      </c>
      <c r="B69" s="1" t="s">
        <v>476</v>
      </c>
      <c r="C69" s="1" t="s">
        <v>477</v>
      </c>
      <c r="D69" s="1" t="s">
        <v>490</v>
      </c>
      <c r="E69" s="1" t="s">
        <v>491</v>
      </c>
      <c r="F69" s="1" t="s">
        <v>480</v>
      </c>
      <c r="G69" s="1" t="s">
        <v>23</v>
      </c>
      <c r="H69">
        <v>4080300</v>
      </c>
      <c r="I69" s="1" t="s">
        <v>492</v>
      </c>
      <c r="J69">
        <v>252</v>
      </c>
      <c r="K69">
        <v>252</v>
      </c>
      <c r="L69" s="1" t="s">
        <v>402</v>
      </c>
      <c r="M69" s="1" t="s">
        <v>432</v>
      </c>
      <c r="N69">
        <v>44.453177400000001</v>
      </c>
      <c r="O69">
        <v>-82.341473399999998</v>
      </c>
      <c r="P69" s="1" t="s">
        <v>396</v>
      </c>
      <c r="Q69" s="1" t="s">
        <v>26</v>
      </c>
      <c r="R69" s="1" t="s">
        <v>483</v>
      </c>
      <c r="S69" s="2">
        <v>42496.7</v>
      </c>
    </row>
    <row r="70" spans="1:19" x14ac:dyDescent="0.3">
      <c r="A70" s="1" t="s">
        <v>19</v>
      </c>
      <c r="B70" s="1" t="s">
        <v>769</v>
      </c>
      <c r="C70" s="1" t="s">
        <v>770</v>
      </c>
      <c r="D70" s="1" t="s">
        <v>799</v>
      </c>
      <c r="E70" s="1" t="s">
        <v>797</v>
      </c>
      <c r="F70" s="1" t="s">
        <v>61</v>
      </c>
      <c r="G70" s="1" t="s">
        <v>23</v>
      </c>
      <c r="H70">
        <v>4150408</v>
      </c>
      <c r="I70" s="1" t="s">
        <v>800</v>
      </c>
      <c r="J70">
        <v>252</v>
      </c>
      <c r="K70">
        <v>252</v>
      </c>
      <c r="L70" s="1" t="s">
        <v>776</v>
      </c>
      <c r="M70" s="1" t="s">
        <v>782</v>
      </c>
      <c r="N70">
        <v>43.855800000000002</v>
      </c>
      <c r="O70">
        <v>-73.382800000000003</v>
      </c>
      <c r="P70" s="1" t="s">
        <v>396</v>
      </c>
      <c r="Q70" s="1" t="s">
        <v>26</v>
      </c>
      <c r="R70" s="1" t="s">
        <v>783</v>
      </c>
      <c r="S70" s="2">
        <v>1117.76</v>
      </c>
    </row>
    <row r="71" spans="1:19" x14ac:dyDescent="0.3">
      <c r="A71" s="1" t="s">
        <v>19</v>
      </c>
      <c r="B71" s="1" t="s">
        <v>769</v>
      </c>
      <c r="C71" s="1" t="s">
        <v>770</v>
      </c>
      <c r="D71" s="1" t="s">
        <v>1430</v>
      </c>
      <c r="E71" s="1" t="s">
        <v>788</v>
      </c>
      <c r="F71" s="1" t="s">
        <v>61</v>
      </c>
      <c r="G71" s="1" t="s">
        <v>23</v>
      </c>
      <c r="H71">
        <v>4150408</v>
      </c>
      <c r="I71" s="1" t="s">
        <v>1431</v>
      </c>
      <c r="J71">
        <v>252</v>
      </c>
      <c r="K71">
        <v>252</v>
      </c>
      <c r="L71" s="1" t="s">
        <v>1415</v>
      </c>
      <c r="M71" s="1" t="s">
        <v>1432</v>
      </c>
      <c r="N71">
        <v>44.845700000000001</v>
      </c>
      <c r="O71">
        <v>-73.311199999999999</v>
      </c>
      <c r="P71" s="1" t="s">
        <v>396</v>
      </c>
      <c r="Q71" s="1" t="s">
        <v>26</v>
      </c>
      <c r="R71" s="1" t="s">
        <v>783</v>
      </c>
      <c r="S71" s="2">
        <v>1117.76</v>
      </c>
    </row>
    <row r="72" spans="1:19" x14ac:dyDescent="0.3">
      <c r="A72" s="1" t="s">
        <v>19</v>
      </c>
      <c r="B72" s="1" t="s">
        <v>1012</v>
      </c>
      <c r="C72" s="1" t="s">
        <v>1013</v>
      </c>
      <c r="D72" s="1" t="s">
        <v>1014</v>
      </c>
      <c r="E72" s="1" t="s">
        <v>1015</v>
      </c>
      <c r="F72" s="1" t="s">
        <v>61</v>
      </c>
      <c r="G72" s="1" t="s">
        <v>23</v>
      </c>
      <c r="H72">
        <v>18010203</v>
      </c>
      <c r="I72" s="1" t="s">
        <v>1016</v>
      </c>
      <c r="J72">
        <v>252</v>
      </c>
      <c r="K72">
        <v>252</v>
      </c>
      <c r="L72" s="1" t="s">
        <v>947</v>
      </c>
      <c r="M72" s="1" t="s">
        <v>948</v>
      </c>
      <c r="N72">
        <v>42.241722199999998</v>
      </c>
      <c r="O72">
        <v>-121.82230749999999</v>
      </c>
      <c r="P72" s="1" t="s">
        <v>25</v>
      </c>
      <c r="Q72" s="1" t="s">
        <v>26</v>
      </c>
      <c r="R72" s="1" t="s">
        <v>949</v>
      </c>
      <c r="S72" s="2">
        <v>228.505</v>
      </c>
    </row>
    <row r="73" spans="1:19" x14ac:dyDescent="0.3">
      <c r="A73" s="1" t="s">
        <v>19</v>
      </c>
      <c r="B73" s="1" t="s">
        <v>476</v>
      </c>
      <c r="C73" s="1" t="s">
        <v>477</v>
      </c>
      <c r="D73" s="1" t="s">
        <v>546</v>
      </c>
      <c r="E73" s="1" t="s">
        <v>547</v>
      </c>
      <c r="F73" s="1" t="s">
        <v>480</v>
      </c>
      <c r="G73" s="1" t="s">
        <v>23</v>
      </c>
      <c r="H73">
        <v>4120200</v>
      </c>
      <c r="I73" s="1" t="s">
        <v>548</v>
      </c>
      <c r="J73">
        <v>251</v>
      </c>
      <c r="K73">
        <v>251</v>
      </c>
      <c r="L73" s="1" t="s">
        <v>402</v>
      </c>
      <c r="M73" s="1" t="s">
        <v>549</v>
      </c>
      <c r="N73">
        <v>46.894444900000003</v>
      </c>
      <c r="O73">
        <v>-85.851702799999998</v>
      </c>
      <c r="P73" s="1" t="s">
        <v>396</v>
      </c>
      <c r="Q73" s="1" t="s">
        <v>26</v>
      </c>
      <c r="R73" s="1" t="s">
        <v>545</v>
      </c>
      <c r="S73" s="2">
        <v>81837.100000000006</v>
      </c>
    </row>
    <row r="74" spans="1:19" x14ac:dyDescent="0.3">
      <c r="A74" s="1" t="s">
        <v>19</v>
      </c>
      <c r="B74" s="1" t="s">
        <v>1012</v>
      </c>
      <c r="C74" s="1" t="s">
        <v>1013</v>
      </c>
      <c r="D74" s="1" t="s">
        <v>1017</v>
      </c>
      <c r="E74" s="1" t="s">
        <v>1018</v>
      </c>
      <c r="F74" s="1" t="s">
        <v>61</v>
      </c>
      <c r="G74" s="1" t="s">
        <v>23</v>
      </c>
      <c r="H74">
        <v>18010203</v>
      </c>
      <c r="I74" s="1" t="s">
        <v>1019</v>
      </c>
      <c r="J74">
        <v>251</v>
      </c>
      <c r="K74">
        <v>251</v>
      </c>
      <c r="L74" s="1" t="s">
        <v>947</v>
      </c>
      <c r="M74" s="1" t="s">
        <v>948</v>
      </c>
      <c r="N74">
        <v>42.308389200000001</v>
      </c>
      <c r="O74">
        <v>-121.8562235</v>
      </c>
      <c r="P74" s="1" t="s">
        <v>25</v>
      </c>
      <c r="Q74" s="1" t="s">
        <v>26</v>
      </c>
      <c r="R74" s="1" t="s">
        <v>949</v>
      </c>
      <c r="S74" s="2">
        <v>228.505</v>
      </c>
    </row>
    <row r="75" spans="1:19" x14ac:dyDescent="0.3">
      <c r="A75" s="1" t="s">
        <v>19</v>
      </c>
      <c r="B75" s="1" t="s">
        <v>366</v>
      </c>
      <c r="C75" s="1" t="s">
        <v>367</v>
      </c>
      <c r="D75" s="1" t="s">
        <v>369</v>
      </c>
      <c r="E75" s="1" t="s">
        <v>370</v>
      </c>
      <c r="F75" s="1" t="s">
        <v>22</v>
      </c>
      <c r="G75" s="1" t="s">
        <v>23</v>
      </c>
      <c r="H75">
        <v>5130103</v>
      </c>
      <c r="I75" s="1" t="s">
        <v>371</v>
      </c>
      <c r="J75">
        <v>245</v>
      </c>
      <c r="K75">
        <v>251</v>
      </c>
      <c r="L75" s="1" t="s">
        <v>368</v>
      </c>
      <c r="M75" s="1" t="s">
        <v>372</v>
      </c>
      <c r="N75">
        <v>36.937220000000003</v>
      </c>
      <c r="O75">
        <v>-84.902780000000007</v>
      </c>
      <c r="P75" s="1" t="s">
        <v>25</v>
      </c>
      <c r="Q75" s="1" t="s">
        <v>26</v>
      </c>
      <c r="R75" s="1" t="s">
        <v>373</v>
      </c>
      <c r="S75" s="2">
        <v>132.78299999999999</v>
      </c>
    </row>
    <row r="76" spans="1:19" x14ac:dyDescent="0.3">
      <c r="A76" s="1" t="s">
        <v>19</v>
      </c>
      <c r="B76" s="1" t="s">
        <v>476</v>
      </c>
      <c r="C76" s="1" t="s">
        <v>477</v>
      </c>
      <c r="D76" s="1" t="s">
        <v>550</v>
      </c>
      <c r="E76" s="1" t="s">
        <v>551</v>
      </c>
      <c r="F76" s="1" t="s">
        <v>480</v>
      </c>
      <c r="G76" s="1" t="s">
        <v>23</v>
      </c>
      <c r="H76">
        <v>4020300</v>
      </c>
      <c r="I76" s="1" t="s">
        <v>552</v>
      </c>
      <c r="J76">
        <v>250</v>
      </c>
      <c r="K76">
        <v>250</v>
      </c>
      <c r="L76" s="1" t="s">
        <v>402</v>
      </c>
      <c r="M76" s="1" t="s">
        <v>426</v>
      </c>
      <c r="N76">
        <v>47.259048100000001</v>
      </c>
      <c r="O76">
        <v>-86.348130699999999</v>
      </c>
      <c r="P76" s="1" t="s">
        <v>396</v>
      </c>
      <c r="Q76" s="1" t="s">
        <v>26</v>
      </c>
      <c r="R76" s="1" t="s">
        <v>545</v>
      </c>
      <c r="S76" s="2">
        <v>81837.100000000006</v>
      </c>
    </row>
    <row r="77" spans="1:19" x14ac:dyDescent="0.3">
      <c r="A77" s="1" t="s">
        <v>19</v>
      </c>
      <c r="B77" s="1" t="s">
        <v>476</v>
      </c>
      <c r="C77" s="1" t="s">
        <v>477</v>
      </c>
      <c r="D77" s="1" t="s">
        <v>572</v>
      </c>
      <c r="E77" s="1" t="s">
        <v>573</v>
      </c>
      <c r="F77" s="1" t="s">
        <v>480</v>
      </c>
      <c r="G77" s="1" t="s">
        <v>23</v>
      </c>
      <c r="H77">
        <v>4060200</v>
      </c>
      <c r="I77" s="1" t="s">
        <v>574</v>
      </c>
      <c r="J77">
        <v>250</v>
      </c>
      <c r="K77">
        <v>250</v>
      </c>
      <c r="L77" s="1" t="s">
        <v>402</v>
      </c>
      <c r="M77" s="1" t="s">
        <v>575</v>
      </c>
      <c r="N77">
        <v>47.621436799999998</v>
      </c>
      <c r="O77">
        <v>-89.4631586</v>
      </c>
      <c r="P77" s="1" t="s">
        <v>396</v>
      </c>
      <c r="Q77" s="1" t="s">
        <v>26</v>
      </c>
      <c r="R77" s="1" t="s">
        <v>545</v>
      </c>
      <c r="S77" s="2">
        <v>81837.100000000006</v>
      </c>
    </row>
    <row r="78" spans="1:19" x14ac:dyDescent="0.3">
      <c r="A78" s="1" t="s">
        <v>19</v>
      </c>
      <c r="B78" s="1" t="s">
        <v>1012</v>
      </c>
      <c r="C78" s="1" t="s">
        <v>1013</v>
      </c>
      <c r="D78" s="1" t="s">
        <v>1020</v>
      </c>
      <c r="E78" s="1" t="s">
        <v>1021</v>
      </c>
      <c r="F78" s="1" t="s">
        <v>61</v>
      </c>
      <c r="G78" s="1" t="s">
        <v>23</v>
      </c>
      <c r="H78">
        <v>18010203</v>
      </c>
      <c r="I78" s="1" t="s">
        <v>1022</v>
      </c>
      <c r="J78">
        <v>250</v>
      </c>
      <c r="K78">
        <v>250</v>
      </c>
      <c r="L78" s="1" t="s">
        <v>947</v>
      </c>
      <c r="M78" s="1" t="s">
        <v>948</v>
      </c>
      <c r="N78">
        <v>42.3268901</v>
      </c>
      <c r="O78">
        <v>-121.9199235</v>
      </c>
      <c r="P78" s="1" t="s">
        <v>25</v>
      </c>
      <c r="Q78" s="1" t="s">
        <v>26</v>
      </c>
      <c r="R78" s="1" t="s">
        <v>949</v>
      </c>
      <c r="S78" s="2">
        <v>228.505</v>
      </c>
    </row>
    <row r="79" spans="1:19" x14ac:dyDescent="0.3">
      <c r="A79" s="1" t="s">
        <v>19</v>
      </c>
      <c r="B79" s="1" t="s">
        <v>1012</v>
      </c>
      <c r="C79" s="1" t="s">
        <v>1013</v>
      </c>
      <c r="D79" s="1" t="s">
        <v>1023</v>
      </c>
      <c r="E79" s="1" t="s">
        <v>1024</v>
      </c>
      <c r="F79" s="1" t="s">
        <v>61</v>
      </c>
      <c r="G79" s="1" t="s">
        <v>23</v>
      </c>
      <c r="H79">
        <v>18010203</v>
      </c>
      <c r="I79" s="1" t="s">
        <v>1025</v>
      </c>
      <c r="J79">
        <v>250</v>
      </c>
      <c r="K79">
        <v>250</v>
      </c>
      <c r="L79" s="1" t="s">
        <v>947</v>
      </c>
      <c r="M79" s="1" t="s">
        <v>948</v>
      </c>
      <c r="N79">
        <v>42.3690833</v>
      </c>
      <c r="O79">
        <v>-121.8486956</v>
      </c>
      <c r="P79" s="1" t="s">
        <v>25</v>
      </c>
      <c r="Q79" s="1" t="s">
        <v>26</v>
      </c>
      <c r="R79" s="1" t="s">
        <v>949</v>
      </c>
      <c r="S79" s="2">
        <v>228.505</v>
      </c>
    </row>
    <row r="80" spans="1:19" x14ac:dyDescent="0.3">
      <c r="A80" s="1" t="s">
        <v>19</v>
      </c>
      <c r="B80" s="1" t="s">
        <v>1012</v>
      </c>
      <c r="C80" s="1" t="s">
        <v>1013</v>
      </c>
      <c r="D80" s="1" t="s">
        <v>1026</v>
      </c>
      <c r="E80" s="1" t="s">
        <v>1027</v>
      </c>
      <c r="F80" s="1" t="s">
        <v>61</v>
      </c>
      <c r="G80" s="1" t="s">
        <v>23</v>
      </c>
      <c r="H80">
        <v>18010203</v>
      </c>
      <c r="I80" s="1" t="s">
        <v>1028</v>
      </c>
      <c r="J80">
        <v>250</v>
      </c>
      <c r="K80">
        <v>250</v>
      </c>
      <c r="L80" s="1" t="s">
        <v>947</v>
      </c>
      <c r="M80" s="1" t="s">
        <v>948</v>
      </c>
      <c r="N80">
        <v>42.422083000000001</v>
      </c>
      <c r="O80">
        <v>-121.9432796</v>
      </c>
      <c r="P80" s="1" t="s">
        <v>25</v>
      </c>
      <c r="Q80" s="1" t="s">
        <v>26</v>
      </c>
      <c r="R80" s="1" t="s">
        <v>949</v>
      </c>
      <c r="S80" s="2">
        <v>228.505</v>
      </c>
    </row>
    <row r="81" spans="1:19" x14ac:dyDescent="0.3">
      <c r="A81" s="1" t="s">
        <v>19</v>
      </c>
      <c r="B81" s="1" t="s">
        <v>1012</v>
      </c>
      <c r="C81" s="1" t="s">
        <v>1013</v>
      </c>
      <c r="D81" s="1" t="s">
        <v>1029</v>
      </c>
      <c r="E81" s="1" t="s">
        <v>1030</v>
      </c>
      <c r="F81" s="1" t="s">
        <v>61</v>
      </c>
      <c r="G81" s="1" t="s">
        <v>23</v>
      </c>
      <c r="H81">
        <v>18010203</v>
      </c>
      <c r="I81" s="1" t="s">
        <v>1031</v>
      </c>
      <c r="J81">
        <v>250</v>
      </c>
      <c r="K81">
        <v>250</v>
      </c>
      <c r="L81" s="1" t="s">
        <v>947</v>
      </c>
      <c r="M81" s="1" t="s">
        <v>948</v>
      </c>
      <c r="N81">
        <v>42.407249999999998</v>
      </c>
      <c r="O81">
        <v>-121.9630846</v>
      </c>
      <c r="P81" s="1" t="s">
        <v>25</v>
      </c>
      <c r="Q81" s="1" t="s">
        <v>26</v>
      </c>
      <c r="R81" s="1" t="s">
        <v>949</v>
      </c>
      <c r="S81" s="2">
        <v>228.505</v>
      </c>
    </row>
    <row r="82" spans="1:19" x14ac:dyDescent="0.3">
      <c r="A82" s="1" t="s">
        <v>19</v>
      </c>
      <c r="B82" s="1" t="s">
        <v>1012</v>
      </c>
      <c r="C82" s="1" t="s">
        <v>1013</v>
      </c>
      <c r="D82" s="1" t="s">
        <v>1032</v>
      </c>
      <c r="E82" s="1" t="s">
        <v>1033</v>
      </c>
      <c r="F82" s="1" t="s">
        <v>61</v>
      </c>
      <c r="G82" s="1" t="s">
        <v>23</v>
      </c>
      <c r="H82">
        <v>18010203</v>
      </c>
      <c r="I82" s="1" t="s">
        <v>1034</v>
      </c>
      <c r="J82">
        <v>249</v>
      </c>
      <c r="K82">
        <v>249</v>
      </c>
      <c r="L82" s="1" t="s">
        <v>947</v>
      </c>
      <c r="M82" s="1" t="s">
        <v>948</v>
      </c>
      <c r="N82">
        <v>42.441360899999999</v>
      </c>
      <c r="O82">
        <v>-121.9988346</v>
      </c>
      <c r="P82" s="1" t="s">
        <v>25</v>
      </c>
      <c r="Q82" s="1" t="s">
        <v>26</v>
      </c>
      <c r="R82" s="1" t="s">
        <v>949</v>
      </c>
      <c r="S82" s="2">
        <v>228.505</v>
      </c>
    </row>
    <row r="83" spans="1:19" x14ac:dyDescent="0.3">
      <c r="A83" s="1" t="s">
        <v>19</v>
      </c>
      <c r="B83" s="1" t="s">
        <v>1499</v>
      </c>
      <c r="C83" s="1" t="s">
        <v>1500</v>
      </c>
      <c r="D83" s="1" t="s">
        <v>1562</v>
      </c>
      <c r="E83" s="1" t="s">
        <v>1563</v>
      </c>
      <c r="F83" s="1" t="s">
        <v>480</v>
      </c>
      <c r="G83" s="1" t="s">
        <v>23</v>
      </c>
      <c r="H83">
        <v>4060200</v>
      </c>
      <c r="I83" s="1" t="s">
        <v>1564</v>
      </c>
      <c r="J83">
        <v>248</v>
      </c>
      <c r="K83">
        <v>248</v>
      </c>
      <c r="L83" s="1" t="s">
        <v>1479</v>
      </c>
      <c r="M83" s="1" t="s">
        <v>1507</v>
      </c>
      <c r="N83">
        <v>42.993832699999999</v>
      </c>
      <c r="O83">
        <v>-87.875000200000002</v>
      </c>
      <c r="P83" s="1" t="s">
        <v>25</v>
      </c>
      <c r="Q83" s="1" t="s">
        <v>26</v>
      </c>
      <c r="R83" s="1" t="s">
        <v>518</v>
      </c>
      <c r="S83" s="2">
        <v>52823.5</v>
      </c>
    </row>
    <row r="84" spans="1:19" x14ac:dyDescent="0.3">
      <c r="A84" s="1" t="s">
        <v>19</v>
      </c>
      <c r="B84" s="1" t="s">
        <v>769</v>
      </c>
      <c r="C84" s="1" t="s">
        <v>770</v>
      </c>
      <c r="D84" s="1" t="s">
        <v>1441</v>
      </c>
      <c r="E84" s="1" t="s">
        <v>780</v>
      </c>
      <c r="F84" s="1" t="s">
        <v>61</v>
      </c>
      <c r="G84" s="1" t="s">
        <v>23</v>
      </c>
      <c r="H84">
        <v>4150408</v>
      </c>
      <c r="I84" s="1" t="s">
        <v>1442</v>
      </c>
      <c r="J84">
        <v>248</v>
      </c>
      <c r="K84">
        <v>248</v>
      </c>
      <c r="L84" s="1" t="s">
        <v>1415</v>
      </c>
      <c r="M84" s="1" t="s">
        <v>1416</v>
      </c>
      <c r="N84">
        <v>44.4664</v>
      </c>
      <c r="O84">
        <v>-73.277199999999993</v>
      </c>
      <c r="P84" s="1" t="s">
        <v>396</v>
      </c>
      <c r="Q84" s="1" t="s">
        <v>26</v>
      </c>
      <c r="R84" s="1" t="s">
        <v>783</v>
      </c>
      <c r="S84" s="2">
        <v>1117.76</v>
      </c>
    </row>
    <row r="85" spans="1:19" x14ac:dyDescent="0.3">
      <c r="A85" s="1" t="s">
        <v>19</v>
      </c>
      <c r="B85" s="1" t="s">
        <v>1012</v>
      </c>
      <c r="C85" s="1" t="s">
        <v>1013</v>
      </c>
      <c r="D85" s="1" t="s">
        <v>1035</v>
      </c>
      <c r="E85" s="1" t="s">
        <v>1036</v>
      </c>
      <c r="F85" s="1" t="s">
        <v>61</v>
      </c>
      <c r="G85" s="1" t="s">
        <v>23</v>
      </c>
      <c r="H85">
        <v>18010203</v>
      </c>
      <c r="I85" s="1" t="s">
        <v>1037</v>
      </c>
      <c r="J85">
        <v>248</v>
      </c>
      <c r="K85">
        <v>248</v>
      </c>
      <c r="L85" s="1" t="s">
        <v>947</v>
      </c>
      <c r="M85" s="1" t="s">
        <v>948</v>
      </c>
      <c r="N85">
        <v>42.435721700000002</v>
      </c>
      <c r="O85">
        <v>-122.0281956</v>
      </c>
      <c r="P85" s="1" t="s">
        <v>25</v>
      </c>
      <c r="Q85" s="1" t="s">
        <v>26</v>
      </c>
      <c r="R85" s="1" t="s">
        <v>949</v>
      </c>
      <c r="S85" s="2">
        <v>228.505</v>
      </c>
    </row>
    <row r="86" spans="1:19" x14ac:dyDescent="0.3">
      <c r="A86" s="1" t="s">
        <v>19</v>
      </c>
      <c r="B86" s="1" t="s">
        <v>476</v>
      </c>
      <c r="C86" s="1" t="s">
        <v>477</v>
      </c>
      <c r="D86" s="1" t="s">
        <v>563</v>
      </c>
      <c r="E86" s="1" t="s">
        <v>564</v>
      </c>
      <c r="F86" s="1" t="s">
        <v>480</v>
      </c>
      <c r="G86" s="1" t="s">
        <v>23</v>
      </c>
      <c r="H86">
        <v>4020300</v>
      </c>
      <c r="I86" s="1" t="s">
        <v>565</v>
      </c>
      <c r="J86">
        <v>247</v>
      </c>
      <c r="K86">
        <v>247</v>
      </c>
      <c r="L86" s="1" t="s">
        <v>402</v>
      </c>
      <c r="M86" s="1" t="s">
        <v>562</v>
      </c>
      <c r="N86">
        <v>47.834101500000003</v>
      </c>
      <c r="O86">
        <v>-88.042814300000003</v>
      </c>
      <c r="P86" s="1" t="s">
        <v>396</v>
      </c>
      <c r="Q86" s="1" t="s">
        <v>26</v>
      </c>
      <c r="R86" s="1" t="s">
        <v>545</v>
      </c>
      <c r="S86" s="2">
        <v>81837.100000000006</v>
      </c>
    </row>
    <row r="87" spans="1:19" x14ac:dyDescent="0.3">
      <c r="A87" s="1" t="s">
        <v>19</v>
      </c>
      <c r="B87" s="1" t="s">
        <v>1499</v>
      </c>
      <c r="C87" s="1" t="s">
        <v>1500</v>
      </c>
      <c r="D87" s="1" t="s">
        <v>1565</v>
      </c>
      <c r="E87" s="1" t="s">
        <v>1566</v>
      </c>
      <c r="F87" s="1" t="s">
        <v>480</v>
      </c>
      <c r="G87" s="1" t="s">
        <v>23</v>
      </c>
      <c r="H87">
        <v>4060200</v>
      </c>
      <c r="I87" s="1" t="s">
        <v>1567</v>
      </c>
      <c r="J87">
        <v>247</v>
      </c>
      <c r="K87">
        <v>247</v>
      </c>
      <c r="L87" s="1" t="s">
        <v>1479</v>
      </c>
      <c r="M87" s="1" t="s">
        <v>1507</v>
      </c>
      <c r="N87">
        <v>43.056166599999997</v>
      </c>
      <c r="O87">
        <v>-87.870833099999999</v>
      </c>
      <c r="P87" s="1" t="s">
        <v>25</v>
      </c>
      <c r="Q87" s="1" t="s">
        <v>26</v>
      </c>
      <c r="R87" s="1" t="s">
        <v>518</v>
      </c>
      <c r="S87" s="2">
        <v>52823.5</v>
      </c>
    </row>
    <row r="88" spans="1:19" x14ac:dyDescent="0.3">
      <c r="A88" s="1" t="s">
        <v>19</v>
      </c>
      <c r="B88" s="1" t="s">
        <v>476</v>
      </c>
      <c r="C88" s="1" t="s">
        <v>477</v>
      </c>
      <c r="D88" s="1" t="s">
        <v>478</v>
      </c>
      <c r="E88" s="1" t="s">
        <v>479</v>
      </c>
      <c r="F88" s="1" t="s">
        <v>480</v>
      </c>
      <c r="G88" s="1" t="s">
        <v>23</v>
      </c>
      <c r="H88">
        <v>4080300</v>
      </c>
      <c r="I88" s="1" t="s">
        <v>481</v>
      </c>
      <c r="J88">
        <v>247</v>
      </c>
      <c r="K88">
        <v>247</v>
      </c>
      <c r="L88" s="1" t="s">
        <v>402</v>
      </c>
      <c r="M88" s="1" t="s">
        <v>482</v>
      </c>
      <c r="N88">
        <v>43.630639799999997</v>
      </c>
      <c r="O88">
        <v>-82.213519700000006</v>
      </c>
      <c r="P88" s="1" t="s">
        <v>396</v>
      </c>
      <c r="Q88" s="1" t="s">
        <v>26</v>
      </c>
      <c r="R88" s="1" t="s">
        <v>483</v>
      </c>
      <c r="S88" s="2">
        <v>42496.7</v>
      </c>
    </row>
    <row r="89" spans="1:19" x14ac:dyDescent="0.3">
      <c r="A89" s="1" t="s">
        <v>19</v>
      </c>
      <c r="B89" s="1" t="s">
        <v>289</v>
      </c>
      <c r="C89" s="1" t="s">
        <v>290</v>
      </c>
      <c r="D89" s="1" t="s">
        <v>310</v>
      </c>
      <c r="E89" s="1" t="s">
        <v>311</v>
      </c>
      <c r="F89" s="1" t="s">
        <v>61</v>
      </c>
      <c r="G89" s="1" t="s">
        <v>23</v>
      </c>
      <c r="H89">
        <v>3080102</v>
      </c>
      <c r="I89" s="1" t="s">
        <v>312</v>
      </c>
      <c r="J89">
        <v>123</v>
      </c>
      <c r="K89">
        <v>246</v>
      </c>
      <c r="L89" s="1" t="s">
        <v>127</v>
      </c>
      <c r="M89" s="1" t="s">
        <v>166</v>
      </c>
      <c r="N89">
        <v>28.6617222</v>
      </c>
      <c r="O89">
        <v>-81.6046944</v>
      </c>
      <c r="P89" s="1" t="s">
        <v>25</v>
      </c>
      <c r="Q89" s="1" t="s">
        <v>26</v>
      </c>
      <c r="R89" s="1" t="s">
        <v>294</v>
      </c>
      <c r="S89" s="2">
        <v>124.66200000000001</v>
      </c>
    </row>
    <row r="90" spans="1:19" x14ac:dyDescent="0.3">
      <c r="A90" s="1" t="s">
        <v>19</v>
      </c>
      <c r="B90" s="1" t="s">
        <v>476</v>
      </c>
      <c r="C90" s="1" t="s">
        <v>477</v>
      </c>
      <c r="D90" s="1" t="s">
        <v>559</v>
      </c>
      <c r="E90" s="1" t="s">
        <v>560</v>
      </c>
      <c r="F90" s="1" t="s">
        <v>480</v>
      </c>
      <c r="G90" s="1" t="s">
        <v>23</v>
      </c>
      <c r="H90">
        <v>4120200</v>
      </c>
      <c r="I90" s="1" t="s">
        <v>561</v>
      </c>
      <c r="J90">
        <v>245</v>
      </c>
      <c r="K90">
        <v>245</v>
      </c>
      <c r="L90" s="1" t="s">
        <v>402</v>
      </c>
      <c r="M90" s="1" t="s">
        <v>562</v>
      </c>
      <c r="N90">
        <v>47.514020000000002</v>
      </c>
      <c r="O90">
        <v>-87.5457514</v>
      </c>
      <c r="P90" s="1" t="s">
        <v>396</v>
      </c>
      <c r="Q90" s="1" t="s">
        <v>26</v>
      </c>
      <c r="R90" s="1" t="s">
        <v>545</v>
      </c>
      <c r="S90" s="2">
        <v>81837.100000000006</v>
      </c>
    </row>
    <row r="91" spans="1:19" x14ac:dyDescent="0.3">
      <c r="A91" s="1" t="s">
        <v>19</v>
      </c>
      <c r="B91" s="1" t="s">
        <v>476</v>
      </c>
      <c r="C91" s="1" t="s">
        <v>477</v>
      </c>
      <c r="D91" s="1" t="s">
        <v>566</v>
      </c>
      <c r="E91" s="1" t="s">
        <v>567</v>
      </c>
      <c r="F91" s="1" t="s">
        <v>480</v>
      </c>
      <c r="G91" s="1" t="s">
        <v>23</v>
      </c>
      <c r="H91">
        <v>4020300</v>
      </c>
      <c r="I91" s="1" t="s">
        <v>568</v>
      </c>
      <c r="J91">
        <v>244</v>
      </c>
      <c r="K91">
        <v>244</v>
      </c>
      <c r="L91" s="1" t="s">
        <v>402</v>
      </c>
      <c r="M91" s="1" t="s">
        <v>562</v>
      </c>
      <c r="N91">
        <v>48.239026000000003</v>
      </c>
      <c r="O91">
        <v>-88.544412399999999</v>
      </c>
      <c r="P91" s="1" t="s">
        <v>396</v>
      </c>
      <c r="Q91" s="1" t="s">
        <v>26</v>
      </c>
      <c r="R91" s="1" t="s">
        <v>545</v>
      </c>
      <c r="S91" s="2">
        <v>81837.100000000006</v>
      </c>
    </row>
    <row r="92" spans="1:19" x14ac:dyDescent="0.3">
      <c r="A92" s="1" t="s">
        <v>19</v>
      </c>
      <c r="B92" s="1" t="s">
        <v>476</v>
      </c>
      <c r="C92" s="1" t="s">
        <v>477</v>
      </c>
      <c r="D92" s="1" t="s">
        <v>569</v>
      </c>
      <c r="E92" s="1" t="s">
        <v>570</v>
      </c>
      <c r="F92" s="1" t="s">
        <v>480</v>
      </c>
      <c r="G92" s="1" t="s">
        <v>23</v>
      </c>
      <c r="H92">
        <v>4060200</v>
      </c>
      <c r="I92" s="1" t="s">
        <v>571</v>
      </c>
      <c r="J92">
        <v>244</v>
      </c>
      <c r="K92">
        <v>244</v>
      </c>
      <c r="L92" s="1" t="s">
        <v>402</v>
      </c>
      <c r="M92" s="1" t="s">
        <v>562</v>
      </c>
      <c r="N92">
        <v>47.741187600000003</v>
      </c>
      <c r="O92">
        <v>-88.737145799999993</v>
      </c>
      <c r="P92" s="1" t="s">
        <v>396</v>
      </c>
      <c r="Q92" s="1" t="s">
        <v>26</v>
      </c>
      <c r="R92" s="1" t="s">
        <v>545</v>
      </c>
      <c r="S92" s="2">
        <v>81837.100000000006</v>
      </c>
    </row>
    <row r="93" spans="1:19" x14ac:dyDescent="0.3">
      <c r="A93" s="1" t="s">
        <v>19</v>
      </c>
      <c r="B93" s="1" t="s">
        <v>476</v>
      </c>
      <c r="C93" s="1" t="s">
        <v>477</v>
      </c>
      <c r="D93" s="1" t="s">
        <v>583</v>
      </c>
      <c r="E93" s="1" t="s">
        <v>584</v>
      </c>
      <c r="F93" s="1" t="s">
        <v>480</v>
      </c>
      <c r="G93" s="1" t="s">
        <v>23</v>
      </c>
      <c r="H93">
        <v>4020300</v>
      </c>
      <c r="I93" s="1" t="s">
        <v>585</v>
      </c>
      <c r="J93">
        <v>244</v>
      </c>
      <c r="K93">
        <v>244</v>
      </c>
      <c r="L93" s="1" t="s">
        <v>582</v>
      </c>
      <c r="M93" s="1" t="s">
        <v>586</v>
      </c>
      <c r="N93">
        <v>47.513821999999998</v>
      </c>
      <c r="O93">
        <v>-90.150491200000005</v>
      </c>
      <c r="P93" s="1" t="s">
        <v>396</v>
      </c>
      <c r="Q93" s="1" t="s">
        <v>26</v>
      </c>
      <c r="R93" s="1" t="s">
        <v>545</v>
      </c>
      <c r="S93" s="2">
        <v>81837.100000000006</v>
      </c>
    </row>
    <row r="94" spans="1:19" x14ac:dyDescent="0.3">
      <c r="A94" s="1" t="s">
        <v>19</v>
      </c>
      <c r="B94" s="1" t="s">
        <v>476</v>
      </c>
      <c r="C94" s="1" t="s">
        <v>477</v>
      </c>
      <c r="D94" s="1" t="s">
        <v>499</v>
      </c>
      <c r="E94" s="1" t="s">
        <v>500</v>
      </c>
      <c r="F94" s="1" t="s">
        <v>480</v>
      </c>
      <c r="G94" s="1" t="s">
        <v>23</v>
      </c>
      <c r="H94">
        <v>4080300</v>
      </c>
      <c r="I94" s="1" t="s">
        <v>501</v>
      </c>
      <c r="J94">
        <v>244</v>
      </c>
      <c r="K94">
        <v>244</v>
      </c>
      <c r="L94" s="1" t="s">
        <v>402</v>
      </c>
      <c r="M94" s="1" t="s">
        <v>502</v>
      </c>
      <c r="N94">
        <v>45.449931300000003</v>
      </c>
      <c r="O94">
        <v>-82.915205299999997</v>
      </c>
      <c r="P94" s="1" t="s">
        <v>396</v>
      </c>
      <c r="Q94" s="1" t="s">
        <v>26</v>
      </c>
      <c r="R94" s="1" t="s">
        <v>483</v>
      </c>
      <c r="S94" s="2">
        <v>42496.7</v>
      </c>
    </row>
    <row r="95" spans="1:19" x14ac:dyDescent="0.3">
      <c r="A95" s="1" t="s">
        <v>19</v>
      </c>
      <c r="B95" s="1" t="s">
        <v>289</v>
      </c>
      <c r="C95" s="1" t="s">
        <v>290</v>
      </c>
      <c r="D95" s="1" t="s">
        <v>316</v>
      </c>
      <c r="E95" s="1" t="s">
        <v>317</v>
      </c>
      <c r="F95" s="1" t="s">
        <v>61</v>
      </c>
      <c r="G95" s="1" t="s">
        <v>23</v>
      </c>
      <c r="H95">
        <v>3080102</v>
      </c>
      <c r="I95" s="1" t="s">
        <v>318</v>
      </c>
      <c r="J95">
        <v>122</v>
      </c>
      <c r="K95">
        <v>244</v>
      </c>
      <c r="L95" s="1" t="s">
        <v>127</v>
      </c>
      <c r="M95" s="1" t="s">
        <v>166</v>
      </c>
      <c r="N95">
        <v>28.567444399999999</v>
      </c>
      <c r="O95">
        <v>-81.650611100000006</v>
      </c>
      <c r="P95" s="1" t="s">
        <v>25</v>
      </c>
      <c r="Q95" s="1" t="s">
        <v>26</v>
      </c>
      <c r="R95" s="1" t="s">
        <v>294</v>
      </c>
      <c r="S95" s="2">
        <v>124.66200000000001</v>
      </c>
    </row>
    <row r="96" spans="1:19" x14ac:dyDescent="0.3">
      <c r="A96" s="1" t="s">
        <v>19</v>
      </c>
      <c r="B96" s="1" t="s">
        <v>476</v>
      </c>
      <c r="C96" s="1" t="s">
        <v>477</v>
      </c>
      <c r="D96" s="1" t="s">
        <v>587</v>
      </c>
      <c r="E96" s="1" t="s">
        <v>588</v>
      </c>
      <c r="F96" s="1" t="s">
        <v>480</v>
      </c>
      <c r="G96" s="1" t="s">
        <v>23</v>
      </c>
      <c r="H96">
        <v>4020300</v>
      </c>
      <c r="I96" s="1" t="s">
        <v>589</v>
      </c>
      <c r="J96">
        <v>243</v>
      </c>
      <c r="K96">
        <v>243</v>
      </c>
      <c r="L96" s="1" t="s">
        <v>582</v>
      </c>
      <c r="M96" s="1" t="s">
        <v>586</v>
      </c>
      <c r="N96">
        <v>47.3774959</v>
      </c>
      <c r="O96">
        <v>-90.836994200000007</v>
      </c>
      <c r="P96" s="1" t="s">
        <v>396</v>
      </c>
      <c r="Q96" s="1" t="s">
        <v>26</v>
      </c>
      <c r="R96" s="1" t="s">
        <v>545</v>
      </c>
      <c r="S96" s="2">
        <v>81837.100000000006</v>
      </c>
    </row>
    <row r="97" spans="1:19" x14ac:dyDescent="0.3">
      <c r="A97" s="1" t="s">
        <v>19</v>
      </c>
      <c r="B97" s="1" t="s">
        <v>476</v>
      </c>
      <c r="C97" s="1" t="s">
        <v>477</v>
      </c>
      <c r="D97" s="1" t="s">
        <v>506</v>
      </c>
      <c r="E97" s="1" t="s">
        <v>507</v>
      </c>
      <c r="F97" s="1" t="s">
        <v>480</v>
      </c>
      <c r="G97" s="1" t="s">
        <v>23</v>
      </c>
      <c r="H97">
        <v>4080300</v>
      </c>
      <c r="I97" s="1" t="s">
        <v>508</v>
      </c>
      <c r="J97">
        <v>243</v>
      </c>
      <c r="K97">
        <v>243</v>
      </c>
      <c r="L97" s="1" t="s">
        <v>402</v>
      </c>
      <c r="M97" s="1" t="s">
        <v>502</v>
      </c>
      <c r="N97">
        <v>45.749841600000003</v>
      </c>
      <c r="O97">
        <v>-83.916638300000002</v>
      </c>
      <c r="P97" s="1" t="s">
        <v>396</v>
      </c>
      <c r="Q97" s="1" t="s">
        <v>26</v>
      </c>
      <c r="R97" s="1" t="s">
        <v>483</v>
      </c>
      <c r="S97" s="2">
        <v>42496.7</v>
      </c>
    </row>
    <row r="98" spans="1:19" x14ac:dyDescent="0.3">
      <c r="A98" s="1" t="s">
        <v>19</v>
      </c>
      <c r="B98" s="1" t="s">
        <v>476</v>
      </c>
      <c r="C98" s="1" t="s">
        <v>477</v>
      </c>
      <c r="D98" s="1" t="s">
        <v>487</v>
      </c>
      <c r="E98" s="1" t="s">
        <v>488</v>
      </c>
      <c r="F98" s="1" t="s">
        <v>480</v>
      </c>
      <c r="G98" s="1" t="s">
        <v>23</v>
      </c>
      <c r="H98">
        <v>4080300</v>
      </c>
      <c r="I98" s="1" t="s">
        <v>489</v>
      </c>
      <c r="J98">
        <v>241</v>
      </c>
      <c r="K98">
        <v>241</v>
      </c>
      <c r="L98" s="1" t="s">
        <v>402</v>
      </c>
      <c r="M98" s="1" t="s">
        <v>432</v>
      </c>
      <c r="N98">
        <v>44.1983715</v>
      </c>
      <c r="O98">
        <v>-82.503474699999998</v>
      </c>
      <c r="P98" s="1" t="s">
        <v>396</v>
      </c>
      <c r="Q98" s="1" t="s">
        <v>26</v>
      </c>
      <c r="R98" s="1" t="s">
        <v>483</v>
      </c>
      <c r="S98" s="2">
        <v>42496.7</v>
      </c>
    </row>
    <row r="99" spans="1:19" x14ac:dyDescent="0.3">
      <c r="A99" s="1" t="s">
        <v>19</v>
      </c>
      <c r="B99" s="1" t="s">
        <v>476</v>
      </c>
      <c r="C99" s="1" t="s">
        <v>477</v>
      </c>
      <c r="D99" s="1" t="s">
        <v>553</v>
      </c>
      <c r="E99" s="1" t="s">
        <v>554</v>
      </c>
      <c r="F99" s="1" t="s">
        <v>480</v>
      </c>
      <c r="G99" s="1" t="s">
        <v>23</v>
      </c>
      <c r="H99">
        <v>4120200</v>
      </c>
      <c r="I99" s="1" t="s">
        <v>555</v>
      </c>
      <c r="J99">
        <v>240</v>
      </c>
      <c r="K99">
        <v>240</v>
      </c>
      <c r="L99" s="1" t="s">
        <v>402</v>
      </c>
      <c r="M99" s="1" t="s">
        <v>426</v>
      </c>
      <c r="N99">
        <v>46.774660900000001</v>
      </c>
      <c r="O99">
        <v>-86.545231799999996</v>
      </c>
      <c r="P99" s="1" t="s">
        <v>396</v>
      </c>
      <c r="Q99" s="1" t="s">
        <v>26</v>
      </c>
      <c r="R99" s="1" t="s">
        <v>545</v>
      </c>
      <c r="S99" s="2">
        <v>81837.100000000006</v>
      </c>
    </row>
    <row r="100" spans="1:19" x14ac:dyDescent="0.3">
      <c r="A100" s="1" t="s">
        <v>19</v>
      </c>
      <c r="B100" s="1" t="s">
        <v>1233</v>
      </c>
      <c r="C100" s="1" t="s">
        <v>1234</v>
      </c>
      <c r="D100" s="1" t="s">
        <v>1363</v>
      </c>
      <c r="E100" s="1" t="s">
        <v>1364</v>
      </c>
      <c r="F100" s="1" t="s">
        <v>22</v>
      </c>
      <c r="G100" s="1" t="s">
        <v>23</v>
      </c>
      <c r="H100">
        <v>12030107</v>
      </c>
      <c r="I100" s="1" t="s">
        <v>1365</v>
      </c>
      <c r="J100">
        <v>239</v>
      </c>
      <c r="K100">
        <v>239</v>
      </c>
      <c r="L100" s="1" t="s">
        <v>1232</v>
      </c>
      <c r="M100" s="1" t="s">
        <v>1347</v>
      </c>
      <c r="N100">
        <v>32.243600000000001</v>
      </c>
      <c r="O100">
        <v>-96.137200000000007</v>
      </c>
      <c r="P100" s="1" t="s">
        <v>25</v>
      </c>
      <c r="Q100" s="1" t="s">
        <v>1594</v>
      </c>
      <c r="R100" s="1" t="s">
        <v>1366</v>
      </c>
      <c r="S100" s="2">
        <v>127.657</v>
      </c>
    </row>
    <row r="101" spans="1:19" x14ac:dyDescent="0.3">
      <c r="A101" s="1" t="s">
        <v>19</v>
      </c>
      <c r="B101" s="1" t="s">
        <v>181</v>
      </c>
      <c r="C101" s="1" t="s">
        <v>182</v>
      </c>
      <c r="D101" s="1" t="s">
        <v>228</v>
      </c>
      <c r="E101" s="1" t="s">
        <v>229</v>
      </c>
      <c r="F101" s="1" t="s">
        <v>61</v>
      </c>
      <c r="G101" s="1" t="s">
        <v>23</v>
      </c>
      <c r="H101">
        <v>3090201</v>
      </c>
      <c r="I101" s="1" t="s">
        <v>230</v>
      </c>
      <c r="J101">
        <v>113</v>
      </c>
      <c r="K101">
        <v>238</v>
      </c>
      <c r="L101" s="1" t="s">
        <v>127</v>
      </c>
      <c r="M101" s="1" t="s">
        <v>231</v>
      </c>
      <c r="N101">
        <v>26.821751899999999</v>
      </c>
      <c r="O101">
        <v>-80.783420599999999</v>
      </c>
      <c r="P101" s="1" t="s">
        <v>25</v>
      </c>
      <c r="Q101" s="1" t="s">
        <v>26</v>
      </c>
      <c r="R101" s="1" t="s">
        <v>192</v>
      </c>
      <c r="S101" s="2">
        <v>1470.65</v>
      </c>
    </row>
    <row r="102" spans="1:19" x14ac:dyDescent="0.3">
      <c r="A102" s="1" t="s">
        <v>19</v>
      </c>
      <c r="B102" s="1" t="s">
        <v>1233</v>
      </c>
      <c r="C102" s="1" t="s">
        <v>1234</v>
      </c>
      <c r="D102" s="1" t="s">
        <v>1338</v>
      </c>
      <c r="E102" s="1" t="s">
        <v>1294</v>
      </c>
      <c r="F102" s="1" t="s">
        <v>22</v>
      </c>
      <c r="G102" s="1" t="s">
        <v>23</v>
      </c>
      <c r="H102">
        <v>12030109</v>
      </c>
      <c r="I102" s="1" t="s">
        <v>1339</v>
      </c>
      <c r="J102">
        <v>238</v>
      </c>
      <c r="K102">
        <v>238</v>
      </c>
      <c r="L102" s="1" t="s">
        <v>1232</v>
      </c>
      <c r="M102" s="1" t="s">
        <v>1292</v>
      </c>
      <c r="N102">
        <v>32.041200000000003</v>
      </c>
      <c r="O102">
        <v>-96.207499999999996</v>
      </c>
      <c r="P102" s="1" t="s">
        <v>25</v>
      </c>
      <c r="Q102" s="1" t="s">
        <v>1594</v>
      </c>
      <c r="R102" s="1" t="s">
        <v>1296</v>
      </c>
      <c r="S102" s="2">
        <v>169.14400000000001</v>
      </c>
    </row>
    <row r="103" spans="1:19" x14ac:dyDescent="0.3">
      <c r="A103" s="1" t="s">
        <v>19</v>
      </c>
      <c r="B103" s="1" t="s">
        <v>181</v>
      </c>
      <c r="C103" s="1" t="s">
        <v>182</v>
      </c>
      <c r="D103" s="1" t="s">
        <v>245</v>
      </c>
      <c r="E103" s="1" t="s">
        <v>246</v>
      </c>
      <c r="F103" s="1" t="s">
        <v>61</v>
      </c>
      <c r="G103" s="1" t="s">
        <v>23</v>
      </c>
      <c r="H103">
        <v>3090201</v>
      </c>
      <c r="I103" s="1" t="s">
        <v>247</v>
      </c>
      <c r="J103">
        <v>112</v>
      </c>
      <c r="K103">
        <v>237</v>
      </c>
      <c r="L103" s="1" t="s">
        <v>127</v>
      </c>
      <c r="M103" s="1" t="s">
        <v>231</v>
      </c>
      <c r="N103">
        <v>26.901737199999999</v>
      </c>
      <c r="O103">
        <v>-80.789250300000006</v>
      </c>
      <c r="P103" s="1" t="s">
        <v>25</v>
      </c>
      <c r="Q103" s="1" t="s">
        <v>26</v>
      </c>
      <c r="R103" s="1" t="s">
        <v>192</v>
      </c>
      <c r="S103" s="2">
        <v>1470.65</v>
      </c>
    </row>
    <row r="104" spans="1:19" x14ac:dyDescent="0.3">
      <c r="A104" s="1" t="s">
        <v>19</v>
      </c>
      <c r="B104" s="1" t="s">
        <v>181</v>
      </c>
      <c r="C104" s="1" t="s">
        <v>182</v>
      </c>
      <c r="D104" s="1" t="s">
        <v>209</v>
      </c>
      <c r="E104" s="1" t="s">
        <v>210</v>
      </c>
      <c r="F104" s="1" t="s">
        <v>61</v>
      </c>
      <c r="G104" s="1" t="s">
        <v>23</v>
      </c>
      <c r="H104">
        <v>3090201</v>
      </c>
      <c r="I104" s="1" t="s">
        <v>211</v>
      </c>
      <c r="J104">
        <v>113</v>
      </c>
      <c r="K104">
        <v>236</v>
      </c>
      <c r="L104" s="1" t="s">
        <v>127</v>
      </c>
      <c r="M104" s="1" t="s">
        <v>208</v>
      </c>
      <c r="N104">
        <v>27.1413008</v>
      </c>
      <c r="O104">
        <v>-80.8460003</v>
      </c>
      <c r="P104" s="1" t="s">
        <v>25</v>
      </c>
      <c r="Q104" s="1" t="s">
        <v>26</v>
      </c>
      <c r="R104" s="1" t="s">
        <v>192</v>
      </c>
      <c r="S104" s="2">
        <v>1470.65</v>
      </c>
    </row>
    <row r="105" spans="1:19" x14ac:dyDescent="0.3">
      <c r="A105" s="1" t="s">
        <v>19</v>
      </c>
      <c r="B105" s="1" t="s">
        <v>181</v>
      </c>
      <c r="C105" s="1" t="s">
        <v>182</v>
      </c>
      <c r="D105" s="1" t="s">
        <v>222</v>
      </c>
      <c r="E105" s="1" t="s">
        <v>223</v>
      </c>
      <c r="F105" s="1" t="s">
        <v>61</v>
      </c>
      <c r="G105" s="1" t="s">
        <v>23</v>
      </c>
      <c r="H105">
        <v>3090201</v>
      </c>
      <c r="I105" s="1" t="s">
        <v>224</v>
      </c>
      <c r="J105">
        <v>110</v>
      </c>
      <c r="K105">
        <v>236</v>
      </c>
      <c r="L105" s="1" t="s">
        <v>127</v>
      </c>
      <c r="M105" s="1" t="s">
        <v>221</v>
      </c>
      <c r="N105">
        <v>26.977683899999999</v>
      </c>
      <c r="O105">
        <v>-80.709581700000001</v>
      </c>
      <c r="P105" s="1" t="s">
        <v>25</v>
      </c>
      <c r="Q105" s="1" t="s">
        <v>26</v>
      </c>
      <c r="R105" s="1" t="s">
        <v>192</v>
      </c>
      <c r="S105" s="2">
        <v>1470.65</v>
      </c>
    </row>
    <row r="106" spans="1:19" x14ac:dyDescent="0.3">
      <c r="A106" s="1" t="s">
        <v>19</v>
      </c>
      <c r="B106" s="1" t="s">
        <v>181</v>
      </c>
      <c r="C106" s="1" t="s">
        <v>182</v>
      </c>
      <c r="D106" s="1" t="s">
        <v>225</v>
      </c>
      <c r="E106" s="1" t="s">
        <v>226</v>
      </c>
      <c r="F106" s="1" t="s">
        <v>61</v>
      </c>
      <c r="G106" s="1" t="s">
        <v>23</v>
      </c>
      <c r="H106">
        <v>3090201</v>
      </c>
      <c r="I106" s="1" t="s">
        <v>227</v>
      </c>
      <c r="J106">
        <v>115</v>
      </c>
      <c r="K106">
        <v>236</v>
      </c>
      <c r="L106" s="1" t="s">
        <v>127</v>
      </c>
      <c r="M106" s="1" t="s">
        <v>191</v>
      </c>
      <c r="N106">
        <v>26.9567303</v>
      </c>
      <c r="O106">
        <v>-80.972385000000003</v>
      </c>
      <c r="P106" s="1" t="s">
        <v>25</v>
      </c>
      <c r="Q106" s="1" t="s">
        <v>26</v>
      </c>
      <c r="R106" s="1" t="s">
        <v>192</v>
      </c>
      <c r="S106" s="2">
        <v>1470.65</v>
      </c>
    </row>
    <row r="107" spans="1:19" x14ac:dyDescent="0.3">
      <c r="A107" s="1" t="s">
        <v>19</v>
      </c>
      <c r="B107" s="1" t="s">
        <v>181</v>
      </c>
      <c r="C107" s="1" t="s">
        <v>182</v>
      </c>
      <c r="D107" s="1" t="s">
        <v>266</v>
      </c>
      <c r="E107" s="1" t="s">
        <v>267</v>
      </c>
      <c r="F107" s="1" t="s">
        <v>61</v>
      </c>
      <c r="G107" s="1" t="s">
        <v>23</v>
      </c>
      <c r="H107">
        <v>3090201</v>
      </c>
      <c r="I107" s="1" t="s">
        <v>268</v>
      </c>
      <c r="J107">
        <v>110</v>
      </c>
      <c r="K107">
        <v>234</v>
      </c>
      <c r="L107" s="1" t="s">
        <v>127</v>
      </c>
      <c r="M107" s="1" t="s">
        <v>191</v>
      </c>
      <c r="N107">
        <v>26.8660186</v>
      </c>
      <c r="O107">
        <v>-80.949714200000003</v>
      </c>
      <c r="P107" s="1" t="s">
        <v>25</v>
      </c>
      <c r="Q107" s="1" t="s">
        <v>26</v>
      </c>
      <c r="R107" s="1" t="s">
        <v>192</v>
      </c>
      <c r="S107" s="2">
        <v>1470.65</v>
      </c>
    </row>
    <row r="108" spans="1:19" x14ac:dyDescent="0.3">
      <c r="A108" s="1" t="s">
        <v>19</v>
      </c>
      <c r="B108" s="1" t="s">
        <v>181</v>
      </c>
      <c r="C108" s="1" t="s">
        <v>182</v>
      </c>
      <c r="D108" s="1" t="s">
        <v>280</v>
      </c>
      <c r="E108" s="1" t="s">
        <v>281</v>
      </c>
      <c r="F108" s="1" t="s">
        <v>61</v>
      </c>
      <c r="G108" s="1" t="s">
        <v>23</v>
      </c>
      <c r="H108">
        <v>3090201</v>
      </c>
      <c r="I108" s="1" t="s">
        <v>282</v>
      </c>
      <c r="J108">
        <v>107</v>
      </c>
      <c r="K108">
        <v>232</v>
      </c>
      <c r="L108" s="1" t="s">
        <v>127</v>
      </c>
      <c r="M108" s="1" t="s">
        <v>191</v>
      </c>
      <c r="N108">
        <v>27.018656400000001</v>
      </c>
      <c r="O108">
        <v>-80.939673099999993</v>
      </c>
      <c r="P108" s="1" t="s">
        <v>25</v>
      </c>
      <c r="Q108" s="1" t="s">
        <v>26</v>
      </c>
      <c r="R108" s="1" t="s">
        <v>192</v>
      </c>
      <c r="S108" s="2">
        <v>1470.65</v>
      </c>
    </row>
    <row r="109" spans="1:19" x14ac:dyDescent="0.3">
      <c r="A109" s="1" t="s">
        <v>19</v>
      </c>
      <c r="B109" s="1" t="s">
        <v>181</v>
      </c>
      <c r="C109" s="1" t="s">
        <v>182</v>
      </c>
      <c r="D109" s="1" t="s">
        <v>218</v>
      </c>
      <c r="E109" s="1" t="s">
        <v>219</v>
      </c>
      <c r="F109" s="1" t="s">
        <v>61</v>
      </c>
      <c r="G109" s="1" t="s">
        <v>23</v>
      </c>
      <c r="H109">
        <v>3090201</v>
      </c>
      <c r="I109" s="1" t="s">
        <v>220</v>
      </c>
      <c r="J109">
        <v>111</v>
      </c>
      <c r="K109">
        <v>230</v>
      </c>
      <c r="L109" s="1" t="s">
        <v>127</v>
      </c>
      <c r="M109" s="1" t="s">
        <v>221</v>
      </c>
      <c r="N109">
        <v>27.045392499999998</v>
      </c>
      <c r="O109">
        <v>-80.707974199999995</v>
      </c>
      <c r="P109" s="1" t="s">
        <v>25</v>
      </c>
      <c r="Q109" s="1" t="s">
        <v>26</v>
      </c>
      <c r="R109" s="1" t="s">
        <v>192</v>
      </c>
      <c r="S109" s="2">
        <v>1470.65</v>
      </c>
    </row>
    <row r="110" spans="1:19" x14ac:dyDescent="0.3">
      <c r="A110" s="1" t="s">
        <v>19</v>
      </c>
      <c r="B110" s="1" t="s">
        <v>181</v>
      </c>
      <c r="C110" s="1" t="s">
        <v>182</v>
      </c>
      <c r="D110" s="1" t="s">
        <v>235</v>
      </c>
      <c r="E110" s="1" t="s">
        <v>236</v>
      </c>
      <c r="F110" s="1" t="s">
        <v>61</v>
      </c>
      <c r="G110" s="1" t="s">
        <v>23</v>
      </c>
      <c r="H110">
        <v>3090201</v>
      </c>
      <c r="I110" s="1" t="s">
        <v>237</v>
      </c>
      <c r="J110">
        <v>109</v>
      </c>
      <c r="K110">
        <v>230</v>
      </c>
      <c r="L110" s="1" t="s">
        <v>127</v>
      </c>
      <c r="M110" s="1" t="s">
        <v>191</v>
      </c>
      <c r="N110">
        <v>26.957112200000001</v>
      </c>
      <c r="O110">
        <v>-80.891692199999994</v>
      </c>
      <c r="P110" s="1" t="s">
        <v>25</v>
      </c>
      <c r="Q110" s="1" t="s">
        <v>26</v>
      </c>
      <c r="R110" s="1" t="s">
        <v>192</v>
      </c>
      <c r="S110" s="2">
        <v>1470.65</v>
      </c>
    </row>
    <row r="111" spans="1:19" x14ac:dyDescent="0.3">
      <c r="A111" s="1" t="s">
        <v>19</v>
      </c>
      <c r="B111" s="1" t="s">
        <v>181</v>
      </c>
      <c r="C111" s="1" t="s">
        <v>182</v>
      </c>
      <c r="D111" s="1" t="s">
        <v>243</v>
      </c>
      <c r="E111" s="1" t="s">
        <v>239</v>
      </c>
      <c r="F111" s="1" t="s">
        <v>61</v>
      </c>
      <c r="G111" s="1" t="s">
        <v>23</v>
      </c>
      <c r="H111">
        <v>3090201</v>
      </c>
      <c r="I111" s="1" t="s">
        <v>244</v>
      </c>
      <c r="J111">
        <v>110</v>
      </c>
      <c r="K111">
        <v>230</v>
      </c>
      <c r="L111" s="1" t="s">
        <v>127</v>
      </c>
      <c r="M111" s="1" t="s">
        <v>231</v>
      </c>
      <c r="N111">
        <v>26.7969714</v>
      </c>
      <c r="O111">
        <v>-80.860094700000005</v>
      </c>
      <c r="P111" s="1" t="s">
        <v>25</v>
      </c>
      <c r="Q111" s="1" t="s">
        <v>26</v>
      </c>
      <c r="R111" s="1" t="s">
        <v>192</v>
      </c>
      <c r="S111" s="2">
        <v>1470.65</v>
      </c>
    </row>
    <row r="112" spans="1:19" x14ac:dyDescent="0.3">
      <c r="A112" s="1" t="s">
        <v>19</v>
      </c>
      <c r="B112" s="1" t="s">
        <v>366</v>
      </c>
      <c r="C112" s="1" t="s">
        <v>367</v>
      </c>
      <c r="D112" s="1" t="s">
        <v>374</v>
      </c>
      <c r="E112" s="1" t="s">
        <v>375</v>
      </c>
      <c r="F112" s="1" t="s">
        <v>22</v>
      </c>
      <c r="G112" s="1" t="s">
        <v>23</v>
      </c>
      <c r="H112">
        <v>5130103</v>
      </c>
      <c r="I112" s="1" t="s">
        <v>376</v>
      </c>
      <c r="J112">
        <v>222</v>
      </c>
      <c r="K112">
        <v>228</v>
      </c>
      <c r="L112" s="1" t="s">
        <v>368</v>
      </c>
      <c r="M112" s="1" t="s">
        <v>74</v>
      </c>
      <c r="N112">
        <v>36.981670000000001</v>
      </c>
      <c r="O112">
        <v>-84.684719999999999</v>
      </c>
      <c r="P112" s="1" t="s">
        <v>25</v>
      </c>
      <c r="Q112" s="1" t="s">
        <v>26</v>
      </c>
      <c r="R112" s="1" t="s">
        <v>373</v>
      </c>
      <c r="S112" s="2">
        <v>132.78299999999999</v>
      </c>
    </row>
    <row r="113" spans="1:19" x14ac:dyDescent="0.3">
      <c r="A113" s="1" t="s">
        <v>19</v>
      </c>
      <c r="B113" s="1" t="s">
        <v>181</v>
      </c>
      <c r="C113" s="1" t="s">
        <v>182</v>
      </c>
      <c r="D113" s="1" t="s">
        <v>212</v>
      </c>
      <c r="E113" s="1" t="s">
        <v>213</v>
      </c>
      <c r="F113" s="1" t="s">
        <v>61</v>
      </c>
      <c r="G113" s="1" t="s">
        <v>23</v>
      </c>
      <c r="H113">
        <v>3090201</v>
      </c>
      <c r="I113" s="1" t="s">
        <v>214</v>
      </c>
      <c r="J113">
        <v>113</v>
      </c>
      <c r="K113">
        <v>226</v>
      </c>
      <c r="L113" s="1" t="s">
        <v>127</v>
      </c>
      <c r="M113" s="1" t="s">
        <v>208</v>
      </c>
      <c r="N113">
        <v>27.1396175</v>
      </c>
      <c r="O113">
        <v>-80.789033900000007</v>
      </c>
      <c r="P113" s="1" t="s">
        <v>25</v>
      </c>
      <c r="Q113" s="1" t="s">
        <v>26</v>
      </c>
      <c r="R113" s="1" t="s">
        <v>192</v>
      </c>
      <c r="S113" s="2">
        <v>1470.65</v>
      </c>
    </row>
    <row r="114" spans="1:19" x14ac:dyDescent="0.3">
      <c r="A114" s="1" t="s">
        <v>19</v>
      </c>
      <c r="B114" s="1" t="s">
        <v>181</v>
      </c>
      <c r="C114" s="1" t="s">
        <v>182</v>
      </c>
      <c r="D114" s="1" t="s">
        <v>286</v>
      </c>
      <c r="E114" s="1" t="s">
        <v>287</v>
      </c>
      <c r="F114" s="1" t="s">
        <v>61</v>
      </c>
      <c r="G114" s="1" t="s">
        <v>23</v>
      </c>
      <c r="H114">
        <v>3090201</v>
      </c>
      <c r="I114" s="1" t="s">
        <v>288</v>
      </c>
      <c r="J114">
        <v>104</v>
      </c>
      <c r="K114">
        <v>224</v>
      </c>
      <c r="L114" s="1" t="s">
        <v>127</v>
      </c>
      <c r="M114" s="1" t="s">
        <v>191</v>
      </c>
      <c r="N114">
        <v>26.902738599999999</v>
      </c>
      <c r="O114">
        <v>-80.963307499999999</v>
      </c>
      <c r="P114" s="1" t="s">
        <v>25</v>
      </c>
      <c r="Q114" s="1" t="s">
        <v>26</v>
      </c>
      <c r="R114" s="1" t="s">
        <v>192</v>
      </c>
      <c r="S114" s="2">
        <v>1470.65</v>
      </c>
    </row>
    <row r="115" spans="1:19" x14ac:dyDescent="0.3">
      <c r="A115" s="1" t="s">
        <v>19</v>
      </c>
      <c r="B115" s="1" t="s">
        <v>181</v>
      </c>
      <c r="C115" s="1" t="s">
        <v>182</v>
      </c>
      <c r="D115" s="1" t="s">
        <v>248</v>
      </c>
      <c r="E115" s="1" t="s">
        <v>249</v>
      </c>
      <c r="F115" s="1" t="s">
        <v>61</v>
      </c>
      <c r="G115" s="1" t="s">
        <v>23</v>
      </c>
      <c r="H115">
        <v>3090201</v>
      </c>
      <c r="I115" s="1" t="s">
        <v>250</v>
      </c>
      <c r="J115">
        <v>107</v>
      </c>
      <c r="K115">
        <v>218</v>
      </c>
      <c r="L115" s="1" t="s">
        <v>127</v>
      </c>
      <c r="M115" s="1" t="s">
        <v>191</v>
      </c>
      <c r="N115">
        <v>26.883362200000001</v>
      </c>
      <c r="O115">
        <v>-80.916925800000001</v>
      </c>
      <c r="P115" s="1" t="s">
        <v>25</v>
      </c>
      <c r="Q115" s="1" t="s">
        <v>26</v>
      </c>
      <c r="R115" s="1" t="s">
        <v>192</v>
      </c>
      <c r="S115" s="2">
        <v>1470.65</v>
      </c>
    </row>
    <row r="116" spans="1:19" x14ac:dyDescent="0.3">
      <c r="A116" s="1" t="s">
        <v>19</v>
      </c>
      <c r="B116" s="1" t="s">
        <v>181</v>
      </c>
      <c r="C116" s="1" t="s">
        <v>182</v>
      </c>
      <c r="D116" s="1" t="s">
        <v>251</v>
      </c>
      <c r="E116" s="1" t="s">
        <v>252</v>
      </c>
      <c r="F116" s="1" t="s">
        <v>61</v>
      </c>
      <c r="G116" s="1" t="s">
        <v>23</v>
      </c>
      <c r="H116">
        <v>3090201</v>
      </c>
      <c r="I116" s="1" t="s">
        <v>253</v>
      </c>
      <c r="J116">
        <v>105</v>
      </c>
      <c r="K116">
        <v>218</v>
      </c>
      <c r="L116" s="1" t="s">
        <v>127</v>
      </c>
      <c r="M116" s="1" t="s">
        <v>191</v>
      </c>
      <c r="N116">
        <v>27.042591900000001</v>
      </c>
      <c r="O116">
        <v>-80.890733299999994</v>
      </c>
      <c r="P116" s="1" t="s">
        <v>25</v>
      </c>
      <c r="Q116" s="1" t="s">
        <v>26</v>
      </c>
      <c r="R116" s="1" t="s">
        <v>192</v>
      </c>
      <c r="S116" s="2">
        <v>1470.65</v>
      </c>
    </row>
    <row r="117" spans="1:19" x14ac:dyDescent="0.3">
      <c r="A117" s="1" t="s">
        <v>19</v>
      </c>
      <c r="B117" s="1" t="s">
        <v>181</v>
      </c>
      <c r="C117" s="1" t="s">
        <v>182</v>
      </c>
      <c r="D117" s="1" t="s">
        <v>215</v>
      </c>
      <c r="E117" s="1" t="s">
        <v>216</v>
      </c>
      <c r="F117" s="1" t="s">
        <v>61</v>
      </c>
      <c r="G117" s="1" t="s">
        <v>23</v>
      </c>
      <c r="H117">
        <v>3090201</v>
      </c>
      <c r="I117" s="1" t="s">
        <v>217</v>
      </c>
      <c r="J117">
        <v>104</v>
      </c>
      <c r="K117">
        <v>214</v>
      </c>
      <c r="L117" s="1" t="s">
        <v>127</v>
      </c>
      <c r="M117" s="1" t="s">
        <v>208</v>
      </c>
      <c r="N117">
        <v>27.082793599999999</v>
      </c>
      <c r="O117">
        <v>-80.794247200000001</v>
      </c>
      <c r="P117" s="1" t="s">
        <v>25</v>
      </c>
      <c r="Q117" s="1" t="s">
        <v>26</v>
      </c>
      <c r="R117" s="1" t="s">
        <v>192</v>
      </c>
      <c r="S117" s="2">
        <v>1470.65</v>
      </c>
    </row>
    <row r="118" spans="1:19" x14ac:dyDescent="0.3">
      <c r="A118" s="1" t="s">
        <v>19</v>
      </c>
      <c r="B118" s="1" t="s">
        <v>181</v>
      </c>
      <c r="C118" s="1" t="s">
        <v>182</v>
      </c>
      <c r="D118" s="1" t="s">
        <v>274</v>
      </c>
      <c r="E118" s="1" t="s">
        <v>275</v>
      </c>
      <c r="F118" s="1" t="s">
        <v>61</v>
      </c>
      <c r="G118" s="1" t="s">
        <v>23</v>
      </c>
      <c r="H118">
        <v>3090201</v>
      </c>
      <c r="I118" s="1" t="s">
        <v>276</v>
      </c>
      <c r="J118">
        <v>102</v>
      </c>
      <c r="K118">
        <v>210</v>
      </c>
      <c r="L118" s="1" t="s">
        <v>127</v>
      </c>
      <c r="M118" s="1" t="s">
        <v>231</v>
      </c>
      <c r="N118">
        <v>26.716196100000001</v>
      </c>
      <c r="O118">
        <v>-80.787349199999994</v>
      </c>
      <c r="P118" s="1" t="s">
        <v>25</v>
      </c>
      <c r="Q118" s="1" t="s">
        <v>26</v>
      </c>
      <c r="R118" s="1" t="s">
        <v>192</v>
      </c>
      <c r="S118" s="2">
        <v>1470.65</v>
      </c>
    </row>
    <row r="119" spans="1:19" x14ac:dyDescent="0.3">
      <c r="A119" s="1" t="s">
        <v>19</v>
      </c>
      <c r="B119" s="1" t="s">
        <v>181</v>
      </c>
      <c r="C119" s="1" t="s">
        <v>182</v>
      </c>
      <c r="D119" s="1" t="s">
        <v>272</v>
      </c>
      <c r="E119" s="1" t="s">
        <v>267</v>
      </c>
      <c r="F119" s="1" t="s">
        <v>61</v>
      </c>
      <c r="G119" s="1" t="s">
        <v>23</v>
      </c>
      <c r="H119">
        <v>3090201</v>
      </c>
      <c r="I119" s="1" t="s">
        <v>273</v>
      </c>
      <c r="J119">
        <v>99</v>
      </c>
      <c r="K119">
        <v>208</v>
      </c>
      <c r="L119" s="1" t="s">
        <v>127</v>
      </c>
      <c r="M119" s="1" t="s">
        <v>191</v>
      </c>
      <c r="N119">
        <v>27.038198099999999</v>
      </c>
      <c r="O119">
        <v>-80.9185406</v>
      </c>
      <c r="P119" s="1" t="s">
        <v>25</v>
      </c>
      <c r="Q119" s="1" t="s">
        <v>26</v>
      </c>
      <c r="R119" s="1" t="s">
        <v>192</v>
      </c>
      <c r="S119" s="2">
        <v>1470.65</v>
      </c>
    </row>
    <row r="120" spans="1:19" x14ac:dyDescent="0.3">
      <c r="A120" s="1" t="s">
        <v>19</v>
      </c>
      <c r="B120" s="1" t="s">
        <v>769</v>
      </c>
      <c r="C120" s="1" t="s">
        <v>770</v>
      </c>
      <c r="D120" s="1" t="s">
        <v>1435</v>
      </c>
      <c r="E120" s="1" t="s">
        <v>1428</v>
      </c>
      <c r="F120" s="1" t="s">
        <v>61</v>
      </c>
      <c r="G120" s="1" t="s">
        <v>23</v>
      </c>
      <c r="H120">
        <v>4150408</v>
      </c>
      <c r="I120" s="1" t="s">
        <v>1436</v>
      </c>
      <c r="J120">
        <v>201</v>
      </c>
      <c r="K120">
        <v>201</v>
      </c>
      <c r="L120" s="1" t="s">
        <v>1415</v>
      </c>
      <c r="M120" s="1" t="s">
        <v>1416</v>
      </c>
      <c r="N120">
        <v>44.486600000000003</v>
      </c>
      <c r="O120">
        <v>-73.239500000000007</v>
      </c>
      <c r="P120" s="1" t="s">
        <v>396</v>
      </c>
      <c r="Q120" s="1" t="s">
        <v>26</v>
      </c>
      <c r="R120" s="1" t="s">
        <v>783</v>
      </c>
      <c r="S120" s="2">
        <v>1117.76</v>
      </c>
    </row>
    <row r="121" spans="1:19" x14ac:dyDescent="0.3">
      <c r="A121" s="1" t="s">
        <v>19</v>
      </c>
      <c r="B121" s="1" t="s">
        <v>181</v>
      </c>
      <c r="C121" s="1" t="s">
        <v>182</v>
      </c>
      <c r="D121" s="1" t="s">
        <v>269</v>
      </c>
      <c r="E121" s="1" t="s">
        <v>270</v>
      </c>
      <c r="F121" s="1" t="s">
        <v>61</v>
      </c>
      <c r="G121" s="1" t="s">
        <v>23</v>
      </c>
      <c r="H121">
        <v>3090201</v>
      </c>
      <c r="I121" s="1" t="s">
        <v>271</v>
      </c>
      <c r="J121">
        <v>99</v>
      </c>
      <c r="K121">
        <v>198</v>
      </c>
      <c r="L121" s="1" t="s">
        <v>127</v>
      </c>
      <c r="M121" s="1" t="s">
        <v>231</v>
      </c>
      <c r="N121">
        <v>26.733656700000001</v>
      </c>
      <c r="O121">
        <v>-80.840079200000005</v>
      </c>
      <c r="P121" s="1" t="s">
        <v>25</v>
      </c>
      <c r="Q121" s="1" t="s">
        <v>26</v>
      </c>
      <c r="R121" s="1" t="s">
        <v>192</v>
      </c>
      <c r="S121" s="2">
        <v>1470.65</v>
      </c>
    </row>
    <row r="122" spans="1:19" x14ac:dyDescent="0.3">
      <c r="A122" s="1" t="s">
        <v>19</v>
      </c>
      <c r="B122" s="1" t="s">
        <v>181</v>
      </c>
      <c r="C122" s="1" t="s">
        <v>182</v>
      </c>
      <c r="D122" s="1" t="s">
        <v>260</v>
      </c>
      <c r="E122" s="1" t="s">
        <v>261</v>
      </c>
      <c r="F122" s="1" t="s">
        <v>61</v>
      </c>
      <c r="G122" s="1" t="s">
        <v>23</v>
      </c>
      <c r="H122">
        <v>3090201</v>
      </c>
      <c r="I122" s="1" t="s">
        <v>262</v>
      </c>
      <c r="J122">
        <v>96</v>
      </c>
      <c r="K122">
        <v>196</v>
      </c>
      <c r="L122" s="1" t="s">
        <v>127</v>
      </c>
      <c r="M122" s="1" t="s">
        <v>191</v>
      </c>
      <c r="N122">
        <v>26.832385299999999</v>
      </c>
      <c r="O122">
        <v>-80.943448599999996</v>
      </c>
      <c r="P122" s="1" t="s">
        <v>25</v>
      </c>
      <c r="Q122" s="1" t="s">
        <v>26</v>
      </c>
      <c r="R122" s="1" t="s">
        <v>192</v>
      </c>
      <c r="S122" s="2">
        <v>1470.65</v>
      </c>
    </row>
    <row r="123" spans="1:19" x14ac:dyDescent="0.3">
      <c r="A123" s="1" t="s">
        <v>19</v>
      </c>
      <c r="B123" s="1" t="s">
        <v>181</v>
      </c>
      <c r="C123" s="1" t="s">
        <v>182</v>
      </c>
      <c r="D123" s="1" t="s">
        <v>232</v>
      </c>
      <c r="E123" s="1" t="s">
        <v>233</v>
      </c>
      <c r="F123" s="1" t="s">
        <v>61</v>
      </c>
      <c r="G123" s="1" t="s">
        <v>23</v>
      </c>
      <c r="H123">
        <v>3090201</v>
      </c>
      <c r="I123" s="1" t="s">
        <v>234</v>
      </c>
      <c r="J123">
        <v>94</v>
      </c>
      <c r="K123">
        <v>192</v>
      </c>
      <c r="L123" s="1" t="s">
        <v>127</v>
      </c>
      <c r="M123" s="1" t="s">
        <v>231</v>
      </c>
      <c r="N123">
        <v>26.770001100000002</v>
      </c>
      <c r="O123">
        <v>-80.784349700000007</v>
      </c>
      <c r="P123" s="1" t="s">
        <v>25</v>
      </c>
      <c r="Q123" s="1" t="s">
        <v>26</v>
      </c>
      <c r="R123" s="1" t="s">
        <v>192</v>
      </c>
      <c r="S123" s="2">
        <v>1470.65</v>
      </c>
    </row>
    <row r="124" spans="1:19" x14ac:dyDescent="0.3">
      <c r="A124" s="1" t="s">
        <v>19</v>
      </c>
      <c r="B124" s="1" t="s">
        <v>181</v>
      </c>
      <c r="C124" s="1" t="s">
        <v>182</v>
      </c>
      <c r="D124" s="1" t="s">
        <v>277</v>
      </c>
      <c r="E124" s="1" t="s">
        <v>278</v>
      </c>
      <c r="F124" s="1" t="s">
        <v>61</v>
      </c>
      <c r="G124" s="1" t="s">
        <v>23</v>
      </c>
      <c r="H124">
        <v>3090201</v>
      </c>
      <c r="I124" s="1" t="s">
        <v>279</v>
      </c>
      <c r="J124">
        <v>96</v>
      </c>
      <c r="K124">
        <v>192</v>
      </c>
      <c r="L124" s="1" t="s">
        <v>127</v>
      </c>
      <c r="M124" s="1" t="s">
        <v>231</v>
      </c>
      <c r="N124">
        <v>26.721198600000001</v>
      </c>
      <c r="O124">
        <v>-80.820314699999997</v>
      </c>
      <c r="P124" s="1" t="s">
        <v>25</v>
      </c>
      <c r="Q124" s="1" t="s">
        <v>26</v>
      </c>
      <c r="R124" s="1" t="s">
        <v>192</v>
      </c>
      <c r="S124" s="2">
        <v>1470.65</v>
      </c>
    </row>
    <row r="125" spans="1:19" x14ac:dyDescent="0.3">
      <c r="A125" s="1" t="s">
        <v>19</v>
      </c>
      <c r="B125" s="1" t="s">
        <v>1499</v>
      </c>
      <c r="C125" s="1" t="s">
        <v>1500</v>
      </c>
      <c r="D125" s="1" t="s">
        <v>1588</v>
      </c>
      <c r="E125" s="1" t="s">
        <v>1572</v>
      </c>
      <c r="F125" s="1" t="s">
        <v>480</v>
      </c>
      <c r="G125" s="1" t="s">
        <v>23</v>
      </c>
      <c r="H125">
        <v>4060200</v>
      </c>
      <c r="I125" s="1" t="s">
        <v>1589</v>
      </c>
      <c r="J125">
        <v>191</v>
      </c>
      <c r="K125">
        <v>191</v>
      </c>
      <c r="L125" s="1" t="s">
        <v>1479</v>
      </c>
      <c r="M125" s="1" t="s">
        <v>1507</v>
      </c>
      <c r="N125">
        <v>42.883166699999997</v>
      </c>
      <c r="O125">
        <v>-87.837667400000001</v>
      </c>
      <c r="P125" s="1" t="s">
        <v>25</v>
      </c>
      <c r="Q125" s="1" t="s">
        <v>26</v>
      </c>
      <c r="R125" s="1" t="s">
        <v>518</v>
      </c>
      <c r="S125" s="2">
        <v>52823.5</v>
      </c>
    </row>
    <row r="126" spans="1:19" x14ac:dyDescent="0.3">
      <c r="A126" s="1" t="s">
        <v>19</v>
      </c>
      <c r="B126" s="1" t="s">
        <v>181</v>
      </c>
      <c r="C126" s="1" t="s">
        <v>182</v>
      </c>
      <c r="D126" s="1" t="s">
        <v>238</v>
      </c>
      <c r="E126" s="1" t="s">
        <v>239</v>
      </c>
      <c r="F126" s="1" t="s">
        <v>61</v>
      </c>
      <c r="G126" s="1" t="s">
        <v>23</v>
      </c>
      <c r="H126">
        <v>3090201</v>
      </c>
      <c r="I126" s="1" t="s">
        <v>240</v>
      </c>
      <c r="J126">
        <v>94</v>
      </c>
      <c r="K126">
        <v>191</v>
      </c>
      <c r="L126" s="1" t="s">
        <v>127</v>
      </c>
      <c r="M126" s="1" t="s">
        <v>208</v>
      </c>
      <c r="N126">
        <v>27.1897558</v>
      </c>
      <c r="O126">
        <v>-80.828039700000005</v>
      </c>
      <c r="P126" s="1" t="s">
        <v>25</v>
      </c>
      <c r="Q126" s="1" t="s">
        <v>26</v>
      </c>
      <c r="R126" s="1" t="s">
        <v>192</v>
      </c>
      <c r="S126" s="2">
        <v>1470.65</v>
      </c>
    </row>
    <row r="127" spans="1:19" x14ac:dyDescent="0.3">
      <c r="A127" s="1" t="s">
        <v>19</v>
      </c>
      <c r="B127" s="1" t="s">
        <v>1499</v>
      </c>
      <c r="C127" s="1" t="s">
        <v>1500</v>
      </c>
      <c r="D127" s="1" t="s">
        <v>1592</v>
      </c>
      <c r="E127" s="1" t="s">
        <v>1572</v>
      </c>
      <c r="F127" s="1" t="s">
        <v>480</v>
      </c>
      <c r="G127" s="1" t="s">
        <v>23</v>
      </c>
      <c r="H127">
        <v>4060200</v>
      </c>
      <c r="I127" s="1" t="s">
        <v>1593</v>
      </c>
      <c r="J127">
        <v>190</v>
      </c>
      <c r="K127">
        <v>190</v>
      </c>
      <c r="L127" s="1" t="s">
        <v>1479</v>
      </c>
      <c r="M127" s="1" t="s">
        <v>1507</v>
      </c>
      <c r="N127">
        <v>42.899166700000002</v>
      </c>
      <c r="O127">
        <v>-87.837667400000001</v>
      </c>
      <c r="P127" s="1" t="s">
        <v>25</v>
      </c>
      <c r="Q127" s="1" t="s">
        <v>26</v>
      </c>
      <c r="R127" s="1" t="s">
        <v>518</v>
      </c>
      <c r="S127" s="2">
        <v>52823.5</v>
      </c>
    </row>
    <row r="128" spans="1:19" x14ac:dyDescent="0.3">
      <c r="A128" s="1" t="s">
        <v>19</v>
      </c>
      <c r="B128" s="1" t="s">
        <v>769</v>
      </c>
      <c r="C128" s="1" t="s">
        <v>770</v>
      </c>
      <c r="D128" s="1" t="s">
        <v>793</v>
      </c>
      <c r="E128" s="1" t="s">
        <v>794</v>
      </c>
      <c r="F128" s="1" t="s">
        <v>61</v>
      </c>
      <c r="G128" s="1" t="s">
        <v>23</v>
      </c>
      <c r="H128">
        <v>4150408</v>
      </c>
      <c r="I128" s="1" t="s">
        <v>795</v>
      </c>
      <c r="J128">
        <v>187</v>
      </c>
      <c r="K128">
        <v>187</v>
      </c>
      <c r="L128" s="1" t="s">
        <v>776</v>
      </c>
      <c r="M128" s="1" t="s">
        <v>782</v>
      </c>
      <c r="N128">
        <v>43.953800000000001</v>
      </c>
      <c r="O128">
        <v>-73.405900000000003</v>
      </c>
      <c r="P128" s="1" t="s">
        <v>396</v>
      </c>
      <c r="Q128" s="1" t="s">
        <v>26</v>
      </c>
      <c r="R128" s="1" t="s">
        <v>783</v>
      </c>
      <c r="S128" s="2">
        <v>1117.76</v>
      </c>
    </row>
    <row r="129" spans="1:19" x14ac:dyDescent="0.3">
      <c r="A129" s="1" t="s">
        <v>19</v>
      </c>
      <c r="B129" s="1" t="s">
        <v>354</v>
      </c>
      <c r="C129" s="1" t="s">
        <v>355</v>
      </c>
      <c r="D129" s="1" t="s">
        <v>359</v>
      </c>
      <c r="E129" s="1" t="s">
        <v>360</v>
      </c>
      <c r="F129" s="1" t="s">
        <v>61</v>
      </c>
      <c r="G129" s="1" t="s">
        <v>23</v>
      </c>
      <c r="H129">
        <v>17050123</v>
      </c>
      <c r="I129" s="1" t="s">
        <v>361</v>
      </c>
      <c r="J129">
        <v>186</v>
      </c>
      <c r="K129">
        <v>186</v>
      </c>
      <c r="L129" s="1" t="s">
        <v>332</v>
      </c>
      <c r="M129" s="1" t="s">
        <v>333</v>
      </c>
      <c r="N129">
        <v>44.522055000000002</v>
      </c>
      <c r="O129">
        <v>-116.054721</v>
      </c>
      <c r="P129" s="1" t="s">
        <v>25</v>
      </c>
      <c r="Q129" s="1" t="s">
        <v>1594</v>
      </c>
      <c r="R129" s="1" t="s">
        <v>350</v>
      </c>
      <c r="S129" s="2">
        <v>105.286</v>
      </c>
    </row>
    <row r="130" spans="1:19" x14ac:dyDescent="0.3">
      <c r="A130" s="1" t="s">
        <v>19</v>
      </c>
      <c r="B130" s="1" t="s">
        <v>181</v>
      </c>
      <c r="C130" s="1" t="s">
        <v>182</v>
      </c>
      <c r="D130" s="1" t="s">
        <v>263</v>
      </c>
      <c r="E130" s="1" t="s">
        <v>264</v>
      </c>
      <c r="F130" s="1" t="s">
        <v>61</v>
      </c>
      <c r="G130" s="1" t="s">
        <v>23</v>
      </c>
      <c r="H130">
        <v>3090201</v>
      </c>
      <c r="I130" s="1" t="s">
        <v>265</v>
      </c>
      <c r="J130">
        <v>91</v>
      </c>
      <c r="K130">
        <v>184</v>
      </c>
      <c r="L130" s="1" t="s">
        <v>127</v>
      </c>
      <c r="M130" s="1" t="s">
        <v>231</v>
      </c>
      <c r="N130">
        <v>26.766823299999999</v>
      </c>
      <c r="O130">
        <v>-80.708284199999994</v>
      </c>
      <c r="P130" s="1" t="s">
        <v>25</v>
      </c>
      <c r="Q130" s="1" t="s">
        <v>26</v>
      </c>
      <c r="R130" s="1" t="s">
        <v>192</v>
      </c>
      <c r="S130" s="2">
        <v>1470.65</v>
      </c>
    </row>
    <row r="131" spans="1:19" x14ac:dyDescent="0.3">
      <c r="A131" s="1" t="s">
        <v>19</v>
      </c>
      <c r="B131" s="1" t="s">
        <v>181</v>
      </c>
      <c r="C131" s="1" t="s">
        <v>182</v>
      </c>
      <c r="D131" s="1" t="s">
        <v>183</v>
      </c>
      <c r="E131" s="1" t="s">
        <v>184</v>
      </c>
      <c r="F131" s="1" t="s">
        <v>61</v>
      </c>
      <c r="G131" s="1" t="s">
        <v>23</v>
      </c>
      <c r="H131">
        <v>3090101</v>
      </c>
      <c r="I131" s="1" t="s">
        <v>185</v>
      </c>
      <c r="J131">
        <v>88</v>
      </c>
      <c r="K131">
        <v>183</v>
      </c>
      <c r="L131" s="1" t="s">
        <v>127</v>
      </c>
      <c r="M131" s="1" t="s">
        <v>130</v>
      </c>
      <c r="N131">
        <v>27.944173899999999</v>
      </c>
      <c r="O131">
        <v>-81.309976399999996</v>
      </c>
      <c r="P131" s="1" t="s">
        <v>25</v>
      </c>
      <c r="Q131" s="1" t="s">
        <v>26</v>
      </c>
      <c r="R131" s="1" t="s">
        <v>134</v>
      </c>
      <c r="S131" s="2">
        <v>137.49</v>
      </c>
    </row>
    <row r="132" spans="1:19" x14ac:dyDescent="0.3">
      <c r="A132" s="1" t="s">
        <v>19</v>
      </c>
      <c r="B132" s="1" t="s">
        <v>90</v>
      </c>
      <c r="C132" s="1" t="s">
        <v>91</v>
      </c>
      <c r="D132" s="1" t="s">
        <v>98</v>
      </c>
      <c r="E132" s="1" t="s">
        <v>99</v>
      </c>
      <c r="F132" s="1" t="s">
        <v>61</v>
      </c>
      <c r="G132" s="1" t="s">
        <v>23</v>
      </c>
      <c r="H132">
        <v>18020116</v>
      </c>
      <c r="I132" s="1" t="s">
        <v>100</v>
      </c>
      <c r="J132">
        <v>182</v>
      </c>
      <c r="K132">
        <v>182</v>
      </c>
      <c r="L132" s="1" t="s">
        <v>87</v>
      </c>
      <c r="M132" s="1" t="s">
        <v>88</v>
      </c>
      <c r="N132">
        <v>39.026842799999997</v>
      </c>
      <c r="O132">
        <v>-122.8869</v>
      </c>
      <c r="P132" s="1" t="s">
        <v>25</v>
      </c>
      <c r="Q132" s="1" t="s">
        <v>26</v>
      </c>
      <c r="R132" s="1" t="s">
        <v>89</v>
      </c>
      <c r="S132" s="2">
        <v>159.102</v>
      </c>
    </row>
    <row r="133" spans="1:19" x14ac:dyDescent="0.3">
      <c r="A133" s="1" t="s">
        <v>19</v>
      </c>
      <c r="B133" s="1" t="s">
        <v>476</v>
      </c>
      <c r="C133" s="1" t="s">
        <v>477</v>
      </c>
      <c r="D133" s="1" t="s">
        <v>1492</v>
      </c>
      <c r="E133" s="1" t="s">
        <v>1493</v>
      </c>
      <c r="F133" s="1" t="s">
        <v>480</v>
      </c>
      <c r="G133" s="1" t="s">
        <v>23</v>
      </c>
      <c r="H133">
        <v>4060200</v>
      </c>
      <c r="I133" s="1" t="s">
        <v>1494</v>
      </c>
      <c r="J133">
        <v>174</v>
      </c>
      <c r="K133">
        <v>174</v>
      </c>
      <c r="L133" s="1" t="s">
        <v>1479</v>
      </c>
      <c r="M133" s="1" t="s">
        <v>1491</v>
      </c>
      <c r="N133">
        <v>45.178064999999997</v>
      </c>
      <c r="O133">
        <v>-86.375345300000006</v>
      </c>
      <c r="P133" s="1" t="s">
        <v>25</v>
      </c>
      <c r="Q133" s="1" t="s">
        <v>26</v>
      </c>
      <c r="R133" s="1" t="s">
        <v>518</v>
      </c>
      <c r="S133" s="2">
        <v>52823.5</v>
      </c>
    </row>
    <row r="134" spans="1:19" x14ac:dyDescent="0.3">
      <c r="A134" s="1" t="s">
        <v>19</v>
      </c>
      <c r="B134" s="1" t="s">
        <v>181</v>
      </c>
      <c r="C134" s="1" t="s">
        <v>182</v>
      </c>
      <c r="D134" s="1" t="s">
        <v>186</v>
      </c>
      <c r="E134" s="1" t="s">
        <v>184</v>
      </c>
      <c r="F134" s="1" t="s">
        <v>61</v>
      </c>
      <c r="G134" s="1" t="s">
        <v>23</v>
      </c>
      <c r="H134">
        <v>3090101</v>
      </c>
      <c r="I134" s="1" t="s">
        <v>187</v>
      </c>
      <c r="J134">
        <v>83</v>
      </c>
      <c r="K134">
        <v>174</v>
      </c>
      <c r="L134" s="1" t="s">
        <v>127</v>
      </c>
      <c r="M134" s="1" t="s">
        <v>130</v>
      </c>
      <c r="N134">
        <v>27.893279700000001</v>
      </c>
      <c r="O134">
        <v>-81.228441399999994</v>
      </c>
      <c r="P134" s="1" t="s">
        <v>25</v>
      </c>
      <c r="Q134" s="1" t="s">
        <v>26</v>
      </c>
      <c r="R134" s="1" t="s">
        <v>134</v>
      </c>
      <c r="S134" s="2">
        <v>137.49</v>
      </c>
    </row>
    <row r="135" spans="1:19" x14ac:dyDescent="0.3">
      <c r="A135" s="1" t="s">
        <v>19</v>
      </c>
      <c r="B135" s="1" t="s">
        <v>476</v>
      </c>
      <c r="C135" s="1" t="s">
        <v>477</v>
      </c>
      <c r="D135" s="1" t="s">
        <v>1484</v>
      </c>
      <c r="E135" s="1" t="s">
        <v>1485</v>
      </c>
      <c r="F135" s="1" t="s">
        <v>480</v>
      </c>
      <c r="G135" s="1" t="s">
        <v>23</v>
      </c>
      <c r="H135">
        <v>4060200</v>
      </c>
      <c r="I135" s="1" t="s">
        <v>1486</v>
      </c>
      <c r="J135">
        <v>172</v>
      </c>
      <c r="K135">
        <v>172</v>
      </c>
      <c r="L135" s="1" t="s">
        <v>1479</v>
      </c>
      <c r="M135" s="1" t="s">
        <v>1487</v>
      </c>
      <c r="N135">
        <v>44.140053799999997</v>
      </c>
      <c r="O135">
        <v>-87.233515499999996</v>
      </c>
      <c r="P135" s="1" t="s">
        <v>25</v>
      </c>
      <c r="Q135" s="1" t="s">
        <v>26</v>
      </c>
      <c r="R135" s="1" t="s">
        <v>518</v>
      </c>
      <c r="S135" s="2">
        <v>52823.5</v>
      </c>
    </row>
    <row r="136" spans="1:19" x14ac:dyDescent="0.3">
      <c r="A136" s="1" t="s">
        <v>19</v>
      </c>
      <c r="B136" s="1" t="s">
        <v>476</v>
      </c>
      <c r="C136" s="1" t="s">
        <v>477</v>
      </c>
      <c r="D136" s="1" t="s">
        <v>1488</v>
      </c>
      <c r="E136" s="1" t="s">
        <v>1489</v>
      </c>
      <c r="F136" s="1" t="s">
        <v>480</v>
      </c>
      <c r="G136" s="1" t="s">
        <v>23</v>
      </c>
      <c r="H136">
        <v>4060200</v>
      </c>
      <c r="I136" s="1" t="s">
        <v>1490</v>
      </c>
      <c r="J136">
        <v>171</v>
      </c>
      <c r="K136">
        <v>171</v>
      </c>
      <c r="L136" s="1" t="s">
        <v>1479</v>
      </c>
      <c r="M136" s="1" t="s">
        <v>1491</v>
      </c>
      <c r="N136">
        <v>44.7599491</v>
      </c>
      <c r="O136">
        <v>-86.966596999999993</v>
      </c>
      <c r="P136" s="1" t="s">
        <v>25</v>
      </c>
      <c r="Q136" s="1" t="s">
        <v>26</v>
      </c>
      <c r="R136" s="1" t="s">
        <v>518</v>
      </c>
      <c r="S136" s="2">
        <v>52823.5</v>
      </c>
    </row>
    <row r="137" spans="1:19" x14ac:dyDescent="0.3">
      <c r="A137" s="1" t="s">
        <v>19</v>
      </c>
      <c r="B137" s="1" t="s">
        <v>476</v>
      </c>
      <c r="C137" s="1" t="s">
        <v>477</v>
      </c>
      <c r="D137" s="1" t="s">
        <v>532</v>
      </c>
      <c r="E137" s="1" t="s">
        <v>533</v>
      </c>
      <c r="F137" s="1" t="s">
        <v>480</v>
      </c>
      <c r="G137" s="1" t="s">
        <v>23</v>
      </c>
      <c r="H137">
        <v>4060200</v>
      </c>
      <c r="I137" s="1" t="s">
        <v>534</v>
      </c>
      <c r="J137">
        <v>169</v>
      </c>
      <c r="K137">
        <v>169</v>
      </c>
      <c r="L137" s="1" t="s">
        <v>402</v>
      </c>
      <c r="M137" s="1" t="s">
        <v>435</v>
      </c>
      <c r="N137">
        <v>44.090163199999999</v>
      </c>
      <c r="O137">
        <v>-86.766632299999998</v>
      </c>
      <c r="P137" s="1" t="s">
        <v>25</v>
      </c>
      <c r="Q137" s="1" t="s">
        <v>26</v>
      </c>
      <c r="R137" s="1" t="s">
        <v>518</v>
      </c>
      <c r="S137" s="2">
        <v>52823.5</v>
      </c>
    </row>
    <row r="138" spans="1:19" x14ac:dyDescent="0.3">
      <c r="A138" s="1" t="s">
        <v>19</v>
      </c>
      <c r="B138" s="1" t="s">
        <v>769</v>
      </c>
      <c r="C138" s="1" t="s">
        <v>770</v>
      </c>
      <c r="D138" s="1" t="s">
        <v>1417</v>
      </c>
      <c r="E138" s="1" t="s">
        <v>1418</v>
      </c>
      <c r="F138" s="1" t="s">
        <v>61</v>
      </c>
      <c r="G138" s="1" t="s">
        <v>23</v>
      </c>
      <c r="H138">
        <v>4150408</v>
      </c>
      <c r="I138" s="1" t="s">
        <v>1419</v>
      </c>
      <c r="J138">
        <v>169</v>
      </c>
      <c r="K138">
        <v>169</v>
      </c>
      <c r="L138" s="1" t="s">
        <v>1415</v>
      </c>
      <c r="M138" s="1" t="s">
        <v>1416</v>
      </c>
      <c r="N138">
        <v>44.63</v>
      </c>
      <c r="O138">
        <v>-73.25</v>
      </c>
      <c r="P138" s="1" t="s">
        <v>396</v>
      </c>
      <c r="Q138" s="1" t="s">
        <v>26</v>
      </c>
      <c r="R138" s="1" t="s">
        <v>783</v>
      </c>
      <c r="S138" s="2">
        <v>1117.76</v>
      </c>
    </row>
    <row r="139" spans="1:19" x14ac:dyDescent="0.3">
      <c r="A139" s="1" t="s">
        <v>19</v>
      </c>
      <c r="B139" s="1" t="s">
        <v>1233</v>
      </c>
      <c r="C139" s="1" t="s">
        <v>1234</v>
      </c>
      <c r="D139" s="1" t="s">
        <v>1257</v>
      </c>
      <c r="E139" s="1" t="s">
        <v>1258</v>
      </c>
      <c r="F139" s="1" t="s">
        <v>22</v>
      </c>
      <c r="G139" s="1" t="s">
        <v>23</v>
      </c>
      <c r="H139">
        <v>12010001</v>
      </c>
      <c r="I139" s="1" t="s">
        <v>1259</v>
      </c>
      <c r="J139">
        <v>169</v>
      </c>
      <c r="K139">
        <v>169</v>
      </c>
      <c r="L139" s="1" t="s">
        <v>1232</v>
      </c>
      <c r="M139" s="1" t="s">
        <v>1260</v>
      </c>
      <c r="N139">
        <v>32.827500000000001</v>
      </c>
      <c r="O139">
        <v>-95.922499999999999</v>
      </c>
      <c r="P139" s="1" t="s">
        <v>25</v>
      </c>
      <c r="Q139" s="1" t="s">
        <v>26</v>
      </c>
      <c r="R139" s="1" t="s">
        <v>1261</v>
      </c>
      <c r="S139" s="2">
        <v>146.791</v>
      </c>
    </row>
    <row r="140" spans="1:19" x14ac:dyDescent="0.3">
      <c r="A140" s="1" t="s">
        <v>19</v>
      </c>
      <c r="B140" s="1" t="s">
        <v>769</v>
      </c>
      <c r="C140" s="1" t="s">
        <v>770</v>
      </c>
      <c r="D140" s="1" t="s">
        <v>1463</v>
      </c>
      <c r="E140" s="1" t="s">
        <v>1418</v>
      </c>
      <c r="F140" s="1" t="s">
        <v>61</v>
      </c>
      <c r="G140" s="1" t="s">
        <v>23</v>
      </c>
      <c r="H140">
        <v>4150408</v>
      </c>
      <c r="I140" s="1" t="s">
        <v>1464</v>
      </c>
      <c r="J140">
        <v>168</v>
      </c>
      <c r="K140">
        <v>168</v>
      </c>
      <c r="L140" s="1" t="s">
        <v>1415</v>
      </c>
      <c r="M140" s="1" t="s">
        <v>1416</v>
      </c>
      <c r="N140">
        <v>44.67</v>
      </c>
      <c r="O140">
        <v>-73.23</v>
      </c>
      <c r="P140" s="1" t="s">
        <v>396</v>
      </c>
      <c r="Q140" s="1" t="s">
        <v>26</v>
      </c>
      <c r="R140" s="1" t="s">
        <v>783</v>
      </c>
      <c r="S140" s="2">
        <v>1117.76</v>
      </c>
    </row>
    <row r="141" spans="1:19" x14ac:dyDescent="0.3">
      <c r="A141" s="1" t="s">
        <v>19</v>
      </c>
      <c r="B141" s="1" t="s">
        <v>476</v>
      </c>
      <c r="C141" s="1" t="s">
        <v>477</v>
      </c>
      <c r="D141" s="1" t="s">
        <v>522</v>
      </c>
      <c r="E141" s="1" t="s">
        <v>523</v>
      </c>
      <c r="F141" s="1" t="s">
        <v>480</v>
      </c>
      <c r="G141" s="1" t="s">
        <v>23</v>
      </c>
      <c r="H141">
        <v>4060200</v>
      </c>
      <c r="I141" s="1" t="s">
        <v>524</v>
      </c>
      <c r="J141">
        <v>167</v>
      </c>
      <c r="K141">
        <v>167</v>
      </c>
      <c r="L141" s="1" t="s">
        <v>402</v>
      </c>
      <c r="M141" s="1" t="s">
        <v>525</v>
      </c>
      <c r="N141">
        <v>42.819232200000002</v>
      </c>
      <c r="O141">
        <v>-86.6015795</v>
      </c>
      <c r="P141" s="1" t="s">
        <v>25</v>
      </c>
      <c r="Q141" s="1" t="s">
        <v>26</v>
      </c>
      <c r="R141" s="1" t="s">
        <v>518</v>
      </c>
      <c r="S141" s="2">
        <v>52823.5</v>
      </c>
    </row>
    <row r="142" spans="1:19" x14ac:dyDescent="0.3">
      <c r="A142" s="1" t="s">
        <v>19</v>
      </c>
      <c r="B142" s="1" t="s">
        <v>476</v>
      </c>
      <c r="C142" s="1" t="s">
        <v>477</v>
      </c>
      <c r="D142" s="1" t="s">
        <v>515</v>
      </c>
      <c r="E142" s="1" t="s">
        <v>516</v>
      </c>
      <c r="F142" s="1" t="s">
        <v>480</v>
      </c>
      <c r="G142" s="1" t="s">
        <v>23</v>
      </c>
      <c r="H142">
        <v>0</v>
      </c>
      <c r="I142" s="1" t="s">
        <v>517</v>
      </c>
      <c r="J142">
        <v>165</v>
      </c>
      <c r="K142">
        <v>165</v>
      </c>
      <c r="L142" s="1" t="s">
        <v>402</v>
      </c>
      <c r="M142" s="1" t="s">
        <v>438</v>
      </c>
      <c r="N142">
        <v>42.3825942</v>
      </c>
      <c r="O142">
        <v>-87.000406999999996</v>
      </c>
      <c r="P142" s="1" t="s">
        <v>25</v>
      </c>
      <c r="Q142" s="1" t="s">
        <v>26</v>
      </c>
      <c r="R142" s="1" t="s">
        <v>518</v>
      </c>
      <c r="S142" s="2">
        <v>52823.5</v>
      </c>
    </row>
    <row r="143" spans="1:19" x14ac:dyDescent="0.3">
      <c r="A143" s="1" t="s">
        <v>19</v>
      </c>
      <c r="B143" s="1" t="s">
        <v>476</v>
      </c>
      <c r="C143" s="1" t="s">
        <v>477</v>
      </c>
      <c r="D143" s="1" t="s">
        <v>526</v>
      </c>
      <c r="E143" s="1" t="s">
        <v>527</v>
      </c>
      <c r="F143" s="1" t="s">
        <v>480</v>
      </c>
      <c r="G143" s="1" t="s">
        <v>23</v>
      </c>
      <c r="H143">
        <v>4060200</v>
      </c>
      <c r="I143" s="1" t="s">
        <v>528</v>
      </c>
      <c r="J143">
        <v>164</v>
      </c>
      <c r="K143">
        <v>164</v>
      </c>
      <c r="L143" s="1" t="s">
        <v>402</v>
      </c>
      <c r="M143" s="1" t="s">
        <v>436</v>
      </c>
      <c r="N143">
        <v>43.133513299999997</v>
      </c>
      <c r="O143">
        <v>-86.9954094</v>
      </c>
      <c r="P143" s="1" t="s">
        <v>25</v>
      </c>
      <c r="Q143" s="1" t="s">
        <v>26</v>
      </c>
      <c r="R143" s="1" t="s">
        <v>518</v>
      </c>
      <c r="S143" s="2">
        <v>52823.5</v>
      </c>
    </row>
    <row r="144" spans="1:19" x14ac:dyDescent="0.3">
      <c r="A144" s="1" t="s">
        <v>19</v>
      </c>
      <c r="B144" s="1" t="s">
        <v>476</v>
      </c>
      <c r="C144" s="1" t="s">
        <v>477</v>
      </c>
      <c r="D144" s="1" t="s">
        <v>1480</v>
      </c>
      <c r="E144" s="1" t="s">
        <v>1481</v>
      </c>
      <c r="F144" s="1" t="s">
        <v>480</v>
      </c>
      <c r="G144" s="1" t="s">
        <v>23</v>
      </c>
      <c r="H144">
        <v>4060200</v>
      </c>
      <c r="I144" s="1" t="s">
        <v>1482</v>
      </c>
      <c r="J144">
        <v>162</v>
      </c>
      <c r="K144">
        <v>162</v>
      </c>
      <c r="L144" s="1" t="s">
        <v>1479</v>
      </c>
      <c r="M144" s="1" t="s">
        <v>1483</v>
      </c>
      <c r="N144">
        <v>42.733352799999999</v>
      </c>
      <c r="O144">
        <v>-87.416740099999998</v>
      </c>
      <c r="P144" s="1" t="s">
        <v>25</v>
      </c>
      <c r="Q144" s="1" t="s">
        <v>26</v>
      </c>
      <c r="R144" s="1" t="s">
        <v>518</v>
      </c>
      <c r="S144" s="2">
        <v>52823.5</v>
      </c>
    </row>
    <row r="145" spans="1:19" x14ac:dyDescent="0.3">
      <c r="A145" s="1" t="s">
        <v>19</v>
      </c>
      <c r="B145" s="1" t="s">
        <v>476</v>
      </c>
      <c r="C145" s="1" t="s">
        <v>477</v>
      </c>
      <c r="D145" s="1" t="s">
        <v>813</v>
      </c>
      <c r="E145" s="1" t="s">
        <v>814</v>
      </c>
      <c r="F145" s="1" t="s">
        <v>480</v>
      </c>
      <c r="G145" s="1" t="s">
        <v>23</v>
      </c>
      <c r="H145">
        <v>4150200</v>
      </c>
      <c r="I145" s="1" t="s">
        <v>815</v>
      </c>
      <c r="J145">
        <v>162</v>
      </c>
      <c r="K145">
        <v>162</v>
      </c>
      <c r="L145" s="1" t="s">
        <v>776</v>
      </c>
      <c r="M145" s="1" t="s">
        <v>372</v>
      </c>
      <c r="N145">
        <v>43.580013200000003</v>
      </c>
      <c r="O145">
        <v>-77.202561200000005</v>
      </c>
      <c r="P145" s="1" t="s">
        <v>396</v>
      </c>
      <c r="Q145" s="1" t="s">
        <v>26</v>
      </c>
      <c r="R145" s="1" t="s">
        <v>809</v>
      </c>
      <c r="S145" s="2">
        <v>18934.7</v>
      </c>
    </row>
    <row r="146" spans="1:19" x14ac:dyDescent="0.3">
      <c r="A146" s="1" t="s">
        <v>19</v>
      </c>
      <c r="B146" s="1" t="s">
        <v>769</v>
      </c>
      <c r="C146" s="1" t="s">
        <v>770</v>
      </c>
      <c r="D146" s="1" t="s">
        <v>1465</v>
      </c>
      <c r="E146" s="1" t="s">
        <v>1418</v>
      </c>
      <c r="F146" s="1" t="s">
        <v>61</v>
      </c>
      <c r="G146" s="1" t="s">
        <v>23</v>
      </c>
      <c r="H146">
        <v>4150408</v>
      </c>
      <c r="I146" s="1" t="s">
        <v>1466</v>
      </c>
      <c r="J146">
        <v>157</v>
      </c>
      <c r="K146">
        <v>157</v>
      </c>
      <c r="L146" s="1" t="s">
        <v>1415</v>
      </c>
      <c r="M146" s="1" t="s">
        <v>1432</v>
      </c>
      <c r="N146">
        <v>44.755000000000003</v>
      </c>
      <c r="O146">
        <v>-73.311099999999996</v>
      </c>
      <c r="P146" s="1" t="s">
        <v>396</v>
      </c>
      <c r="Q146" s="1" t="s">
        <v>26</v>
      </c>
      <c r="R146" s="1" t="s">
        <v>783</v>
      </c>
      <c r="S146" s="2">
        <v>1117.76</v>
      </c>
    </row>
    <row r="147" spans="1:19" x14ac:dyDescent="0.3">
      <c r="A147" s="1" t="s">
        <v>19</v>
      </c>
      <c r="B147" s="1" t="s">
        <v>289</v>
      </c>
      <c r="C147" s="1" t="s">
        <v>290</v>
      </c>
      <c r="D147" s="1" t="s">
        <v>313</v>
      </c>
      <c r="E147" s="1" t="s">
        <v>314</v>
      </c>
      <c r="F147" s="1" t="s">
        <v>61</v>
      </c>
      <c r="G147" s="1" t="s">
        <v>23</v>
      </c>
      <c r="H147">
        <v>3080101</v>
      </c>
      <c r="I147" s="1" t="s">
        <v>315</v>
      </c>
      <c r="J147">
        <v>78</v>
      </c>
      <c r="K147">
        <v>156</v>
      </c>
      <c r="L147" s="1" t="s">
        <v>127</v>
      </c>
      <c r="M147" s="1" t="s">
        <v>172</v>
      </c>
      <c r="N147">
        <v>29.298611099999999</v>
      </c>
      <c r="O147">
        <v>-81.645277800000002</v>
      </c>
      <c r="P147" s="1" t="s">
        <v>25</v>
      </c>
      <c r="Q147" s="1" t="s">
        <v>26</v>
      </c>
      <c r="R147" s="1" t="s">
        <v>173</v>
      </c>
      <c r="S147" s="2">
        <v>214.29</v>
      </c>
    </row>
    <row r="148" spans="1:19" x14ac:dyDescent="0.3">
      <c r="A148" s="1" t="s">
        <v>19</v>
      </c>
      <c r="B148" s="1" t="s">
        <v>476</v>
      </c>
      <c r="C148" s="1" t="s">
        <v>477</v>
      </c>
      <c r="D148" s="1" t="s">
        <v>939</v>
      </c>
      <c r="E148" s="1" t="s">
        <v>940</v>
      </c>
      <c r="F148" s="1" t="s">
        <v>480</v>
      </c>
      <c r="G148" s="1" t="s">
        <v>23</v>
      </c>
      <c r="H148">
        <v>4120200</v>
      </c>
      <c r="I148" s="1" t="s">
        <v>941</v>
      </c>
      <c r="J148">
        <v>155</v>
      </c>
      <c r="K148">
        <v>155</v>
      </c>
      <c r="L148" s="1" t="s">
        <v>913</v>
      </c>
      <c r="M148" s="1" t="s">
        <v>88</v>
      </c>
      <c r="N148">
        <v>42.116738300000002</v>
      </c>
      <c r="O148">
        <v>-81.249898599999995</v>
      </c>
      <c r="P148" s="1" t="s">
        <v>396</v>
      </c>
      <c r="Q148" s="1" t="s">
        <v>26</v>
      </c>
      <c r="R148" s="1" t="s">
        <v>915</v>
      </c>
      <c r="S148" s="2">
        <v>25718.799999999999</v>
      </c>
    </row>
    <row r="149" spans="1:19" x14ac:dyDescent="0.3">
      <c r="A149" s="1" t="s">
        <v>19</v>
      </c>
      <c r="B149" s="1" t="s">
        <v>476</v>
      </c>
      <c r="C149" s="1" t="s">
        <v>477</v>
      </c>
      <c r="D149" s="1" t="s">
        <v>1038</v>
      </c>
      <c r="E149" s="1" t="s">
        <v>1039</v>
      </c>
      <c r="F149" s="1" t="s">
        <v>480</v>
      </c>
      <c r="G149" s="1" t="s">
        <v>23</v>
      </c>
      <c r="H149">
        <v>4120200</v>
      </c>
      <c r="I149" s="1" t="s">
        <v>1040</v>
      </c>
      <c r="J149">
        <v>151</v>
      </c>
      <c r="K149">
        <v>151</v>
      </c>
      <c r="L149" s="1" t="s">
        <v>1041</v>
      </c>
      <c r="M149" s="1" t="s">
        <v>1042</v>
      </c>
      <c r="N149">
        <v>42.4170078</v>
      </c>
      <c r="O149">
        <v>-79.800126199999994</v>
      </c>
      <c r="P149" s="1" t="s">
        <v>396</v>
      </c>
      <c r="Q149" s="1" t="s">
        <v>26</v>
      </c>
      <c r="R149" s="1" t="s">
        <v>915</v>
      </c>
      <c r="S149" s="2">
        <v>25718.799999999999</v>
      </c>
    </row>
    <row r="150" spans="1:19" x14ac:dyDescent="0.3">
      <c r="A150" s="1" t="s">
        <v>19</v>
      </c>
      <c r="B150" s="1" t="s">
        <v>181</v>
      </c>
      <c r="C150" s="1" t="s">
        <v>182</v>
      </c>
      <c r="D150" s="1" t="s">
        <v>188</v>
      </c>
      <c r="E150" s="1" t="s">
        <v>189</v>
      </c>
      <c r="F150" s="1" t="s">
        <v>61</v>
      </c>
      <c r="G150" s="1" t="s">
        <v>23</v>
      </c>
      <c r="H150">
        <v>3090201</v>
      </c>
      <c r="I150" s="1" t="s">
        <v>190</v>
      </c>
      <c r="J150">
        <v>73</v>
      </c>
      <c r="K150">
        <v>150</v>
      </c>
      <c r="L150" s="1" t="s">
        <v>127</v>
      </c>
      <c r="M150" s="1" t="s">
        <v>191</v>
      </c>
      <c r="N150">
        <v>26.965777800000001</v>
      </c>
      <c r="O150">
        <v>-81.071036100000001</v>
      </c>
      <c r="P150" s="1" t="s">
        <v>25</v>
      </c>
      <c r="Q150" s="1" t="s">
        <v>26</v>
      </c>
      <c r="R150" s="1" t="s">
        <v>192</v>
      </c>
      <c r="S150" s="2">
        <v>1470.65</v>
      </c>
    </row>
    <row r="151" spans="1:19" x14ac:dyDescent="0.3">
      <c r="A151" s="1" t="s">
        <v>19</v>
      </c>
      <c r="B151" s="1" t="s">
        <v>125</v>
      </c>
      <c r="C151" s="1" t="s">
        <v>126</v>
      </c>
      <c r="D151" s="1" t="s">
        <v>994</v>
      </c>
      <c r="E151" s="1" t="s">
        <v>995</v>
      </c>
      <c r="F151" s="1" t="s">
        <v>22</v>
      </c>
      <c r="G151" s="1" t="s">
        <v>23</v>
      </c>
      <c r="H151">
        <v>18010203</v>
      </c>
      <c r="I151" s="1" t="s">
        <v>996</v>
      </c>
      <c r="J151">
        <v>150</v>
      </c>
      <c r="K151">
        <v>150</v>
      </c>
      <c r="L151" s="1" t="s">
        <v>947</v>
      </c>
      <c r="M151" s="1" t="s">
        <v>948</v>
      </c>
      <c r="N151">
        <v>42.3262</v>
      </c>
      <c r="O151">
        <v>-121.92100000000001</v>
      </c>
      <c r="P151" s="1" t="s">
        <v>25</v>
      </c>
      <c r="Q151" s="1" t="s">
        <v>26</v>
      </c>
      <c r="R151" s="1" t="s">
        <v>949</v>
      </c>
      <c r="S151" s="2">
        <v>228.505</v>
      </c>
    </row>
    <row r="152" spans="1:19" x14ac:dyDescent="0.3">
      <c r="A152" s="1" t="s">
        <v>19</v>
      </c>
      <c r="B152" s="1" t="s">
        <v>125</v>
      </c>
      <c r="C152" s="1" t="s">
        <v>126</v>
      </c>
      <c r="D152" s="1" t="s">
        <v>988</v>
      </c>
      <c r="E152" s="1" t="s">
        <v>989</v>
      </c>
      <c r="F152" s="1" t="s">
        <v>22</v>
      </c>
      <c r="G152" s="1" t="s">
        <v>23</v>
      </c>
      <c r="H152">
        <v>18010203</v>
      </c>
      <c r="I152" s="1" t="s">
        <v>990</v>
      </c>
      <c r="J152">
        <v>149</v>
      </c>
      <c r="K152">
        <v>149</v>
      </c>
      <c r="L152" s="1" t="s">
        <v>947</v>
      </c>
      <c r="M152" s="1" t="s">
        <v>948</v>
      </c>
      <c r="N152">
        <v>42.241599999999998</v>
      </c>
      <c r="O152">
        <v>-121.82299999999999</v>
      </c>
      <c r="P152" s="1" t="s">
        <v>25</v>
      </c>
      <c r="Q152" s="1" t="s">
        <v>26</v>
      </c>
      <c r="R152" s="1" t="s">
        <v>949</v>
      </c>
      <c r="S152" s="2">
        <v>228.505</v>
      </c>
    </row>
    <row r="153" spans="1:19" x14ac:dyDescent="0.3">
      <c r="A153" s="1" t="s">
        <v>19</v>
      </c>
      <c r="B153" s="1" t="s">
        <v>181</v>
      </c>
      <c r="C153" s="1" t="s">
        <v>182</v>
      </c>
      <c r="D153" s="1" t="s">
        <v>241</v>
      </c>
      <c r="E153" s="1" t="s">
        <v>239</v>
      </c>
      <c r="F153" s="1" t="s">
        <v>61</v>
      </c>
      <c r="G153" s="1" t="s">
        <v>23</v>
      </c>
      <c r="H153">
        <v>3090201</v>
      </c>
      <c r="I153" s="1" t="s">
        <v>242</v>
      </c>
      <c r="J153">
        <v>74</v>
      </c>
      <c r="K153">
        <v>148</v>
      </c>
      <c r="L153" s="1" t="s">
        <v>127</v>
      </c>
      <c r="M153" s="1" t="s">
        <v>231</v>
      </c>
      <c r="N153">
        <v>26.7405553</v>
      </c>
      <c r="O153">
        <v>-80.754655</v>
      </c>
      <c r="P153" s="1" t="s">
        <v>25</v>
      </c>
      <c r="Q153" s="1" t="s">
        <v>26</v>
      </c>
      <c r="R153" s="1" t="s">
        <v>192</v>
      </c>
      <c r="S153" s="2">
        <v>1470.65</v>
      </c>
    </row>
    <row r="154" spans="1:19" x14ac:dyDescent="0.3">
      <c r="A154" s="1" t="s">
        <v>19</v>
      </c>
      <c r="B154" s="1" t="s">
        <v>125</v>
      </c>
      <c r="C154" s="1" t="s">
        <v>126</v>
      </c>
      <c r="D154" s="1" t="s">
        <v>1003</v>
      </c>
      <c r="E154" s="1" t="s">
        <v>1004</v>
      </c>
      <c r="F154" s="1" t="s">
        <v>22</v>
      </c>
      <c r="G154" s="1" t="s">
        <v>23</v>
      </c>
      <c r="H154">
        <v>18010203</v>
      </c>
      <c r="I154" s="1" t="s">
        <v>1005</v>
      </c>
      <c r="J154">
        <v>146</v>
      </c>
      <c r="K154">
        <v>146</v>
      </c>
      <c r="L154" s="1" t="s">
        <v>947</v>
      </c>
      <c r="M154" s="1" t="s">
        <v>948</v>
      </c>
      <c r="N154">
        <v>42.4071</v>
      </c>
      <c r="O154">
        <v>-121.964</v>
      </c>
      <c r="P154" s="1" t="s">
        <v>25</v>
      </c>
      <c r="Q154" s="1" t="s">
        <v>26</v>
      </c>
      <c r="R154" s="1" t="s">
        <v>949</v>
      </c>
      <c r="S154" s="2">
        <v>228.505</v>
      </c>
    </row>
    <row r="155" spans="1:19" x14ac:dyDescent="0.3">
      <c r="A155" s="1" t="s">
        <v>19</v>
      </c>
      <c r="B155" s="1" t="s">
        <v>125</v>
      </c>
      <c r="C155" s="1" t="s">
        <v>126</v>
      </c>
      <c r="D155" s="1" t="s">
        <v>1006</v>
      </c>
      <c r="E155" s="1" t="s">
        <v>1007</v>
      </c>
      <c r="F155" s="1" t="s">
        <v>22</v>
      </c>
      <c r="G155" s="1" t="s">
        <v>23</v>
      </c>
      <c r="H155">
        <v>18010203</v>
      </c>
      <c r="I155" s="1" t="s">
        <v>1008</v>
      </c>
      <c r="J155">
        <v>146</v>
      </c>
      <c r="K155">
        <v>146</v>
      </c>
      <c r="L155" s="1" t="s">
        <v>947</v>
      </c>
      <c r="M155" s="1" t="s">
        <v>948</v>
      </c>
      <c r="N155">
        <v>42.441200000000002</v>
      </c>
      <c r="O155">
        <v>-122</v>
      </c>
      <c r="P155" s="1" t="s">
        <v>25</v>
      </c>
      <c r="Q155" s="1" t="s">
        <v>26</v>
      </c>
      <c r="R155" s="1" t="s">
        <v>949</v>
      </c>
      <c r="S155" s="2">
        <v>228.505</v>
      </c>
    </row>
    <row r="156" spans="1:19" x14ac:dyDescent="0.3">
      <c r="A156" s="1" t="s">
        <v>19</v>
      </c>
      <c r="B156" s="1" t="s">
        <v>125</v>
      </c>
      <c r="C156" s="1" t="s">
        <v>126</v>
      </c>
      <c r="D156" s="1" t="s">
        <v>991</v>
      </c>
      <c r="E156" s="1" t="s">
        <v>992</v>
      </c>
      <c r="F156" s="1" t="s">
        <v>22</v>
      </c>
      <c r="G156" s="1" t="s">
        <v>23</v>
      </c>
      <c r="H156">
        <v>18010203</v>
      </c>
      <c r="I156" s="1" t="s">
        <v>993</v>
      </c>
      <c r="J156">
        <v>145</v>
      </c>
      <c r="K156">
        <v>145</v>
      </c>
      <c r="L156" s="1" t="s">
        <v>947</v>
      </c>
      <c r="M156" s="1" t="s">
        <v>948</v>
      </c>
      <c r="N156">
        <v>42.308199999999999</v>
      </c>
      <c r="O156">
        <v>-121.857</v>
      </c>
      <c r="P156" s="1" t="s">
        <v>25</v>
      </c>
      <c r="Q156" s="1" t="s">
        <v>26</v>
      </c>
      <c r="R156" s="1" t="s">
        <v>949</v>
      </c>
      <c r="S156" s="2">
        <v>228.505</v>
      </c>
    </row>
    <row r="157" spans="1:19" x14ac:dyDescent="0.3">
      <c r="A157" s="1" t="s">
        <v>19</v>
      </c>
      <c r="B157" s="1" t="s">
        <v>125</v>
      </c>
      <c r="C157" s="1" t="s">
        <v>126</v>
      </c>
      <c r="D157" s="1" t="s">
        <v>1009</v>
      </c>
      <c r="E157" s="1" t="s">
        <v>1010</v>
      </c>
      <c r="F157" s="1" t="s">
        <v>22</v>
      </c>
      <c r="G157" s="1" t="s">
        <v>23</v>
      </c>
      <c r="H157">
        <v>18010203</v>
      </c>
      <c r="I157" s="1" t="s">
        <v>1011</v>
      </c>
      <c r="J157">
        <v>142</v>
      </c>
      <c r="K157">
        <v>142</v>
      </c>
      <c r="L157" s="1" t="s">
        <v>947</v>
      </c>
      <c r="M157" s="1" t="s">
        <v>948</v>
      </c>
      <c r="N157">
        <v>42.435600000000001</v>
      </c>
      <c r="O157">
        <v>-122.029</v>
      </c>
      <c r="P157" s="1" t="s">
        <v>25</v>
      </c>
      <c r="Q157" s="1" t="s">
        <v>26</v>
      </c>
      <c r="R157" s="1" t="s">
        <v>949</v>
      </c>
      <c r="S157" s="2">
        <v>228.505</v>
      </c>
    </row>
    <row r="158" spans="1:19" x14ac:dyDescent="0.3">
      <c r="A158" s="1" t="s">
        <v>19</v>
      </c>
      <c r="B158" s="1" t="s">
        <v>125</v>
      </c>
      <c r="C158" s="1" t="s">
        <v>126</v>
      </c>
      <c r="D158" s="1" t="s">
        <v>997</v>
      </c>
      <c r="E158" s="1" t="s">
        <v>998</v>
      </c>
      <c r="F158" s="1" t="s">
        <v>22</v>
      </c>
      <c r="G158" s="1" t="s">
        <v>23</v>
      </c>
      <c r="H158">
        <v>18010203</v>
      </c>
      <c r="I158" s="1" t="s">
        <v>999</v>
      </c>
      <c r="J158">
        <v>141</v>
      </c>
      <c r="K158">
        <v>141</v>
      </c>
      <c r="L158" s="1" t="s">
        <v>947</v>
      </c>
      <c r="M158" s="1" t="s">
        <v>948</v>
      </c>
      <c r="N158">
        <v>42.368899999999996</v>
      </c>
      <c r="O158">
        <v>-121.85</v>
      </c>
      <c r="P158" s="1" t="s">
        <v>25</v>
      </c>
      <c r="Q158" s="1" t="s">
        <v>26</v>
      </c>
      <c r="R158" s="1" t="s">
        <v>949</v>
      </c>
      <c r="S158" s="2">
        <v>228.505</v>
      </c>
    </row>
    <row r="159" spans="1:19" x14ac:dyDescent="0.3">
      <c r="A159" s="1" t="s">
        <v>19</v>
      </c>
      <c r="B159" s="1" t="s">
        <v>125</v>
      </c>
      <c r="C159" s="1" t="s">
        <v>126</v>
      </c>
      <c r="D159" s="1" t="s">
        <v>1000</v>
      </c>
      <c r="E159" s="1" t="s">
        <v>1001</v>
      </c>
      <c r="F159" s="1" t="s">
        <v>22</v>
      </c>
      <c r="G159" s="1" t="s">
        <v>23</v>
      </c>
      <c r="H159">
        <v>18010203</v>
      </c>
      <c r="I159" s="1" t="s">
        <v>1002</v>
      </c>
      <c r="J159">
        <v>141</v>
      </c>
      <c r="K159">
        <v>141</v>
      </c>
      <c r="L159" s="1" t="s">
        <v>947</v>
      </c>
      <c r="M159" s="1" t="s">
        <v>948</v>
      </c>
      <c r="N159">
        <v>42.421900000000001</v>
      </c>
      <c r="O159">
        <v>-121.944</v>
      </c>
      <c r="P159" s="1" t="s">
        <v>25</v>
      </c>
      <c r="Q159" s="1" t="s">
        <v>26</v>
      </c>
      <c r="R159" s="1" t="s">
        <v>949</v>
      </c>
      <c r="S159" s="2">
        <v>228.505</v>
      </c>
    </row>
    <row r="160" spans="1:19" x14ac:dyDescent="0.3">
      <c r="A160" s="1" t="s">
        <v>19</v>
      </c>
      <c r="B160" s="1" t="s">
        <v>1233</v>
      </c>
      <c r="C160" s="1" t="s">
        <v>1234</v>
      </c>
      <c r="D160" s="1" t="s">
        <v>1252</v>
      </c>
      <c r="E160" s="1" t="s">
        <v>1253</v>
      </c>
      <c r="F160" s="1" t="s">
        <v>22</v>
      </c>
      <c r="G160" s="1" t="s">
        <v>23</v>
      </c>
      <c r="H160">
        <v>12010004</v>
      </c>
      <c r="I160" s="1" t="s">
        <v>1254</v>
      </c>
      <c r="J160">
        <v>140</v>
      </c>
      <c r="K160">
        <v>140</v>
      </c>
      <c r="L160" s="1" t="s">
        <v>1232</v>
      </c>
      <c r="M160" s="1" t="s">
        <v>1255</v>
      </c>
      <c r="N160">
        <v>31.1677</v>
      </c>
      <c r="O160">
        <v>-93.578500000000005</v>
      </c>
      <c r="P160" s="1" t="s">
        <v>25</v>
      </c>
      <c r="Q160" s="1" t="s">
        <v>1594</v>
      </c>
      <c r="R160" s="1" t="s">
        <v>1256</v>
      </c>
      <c r="S160" s="2">
        <v>636.72</v>
      </c>
    </row>
    <row r="161" spans="1:19" x14ac:dyDescent="0.3">
      <c r="A161" s="1" t="s">
        <v>19</v>
      </c>
      <c r="B161" s="1" t="s">
        <v>181</v>
      </c>
      <c r="C161" s="1" t="s">
        <v>182</v>
      </c>
      <c r="D161" s="1" t="s">
        <v>283</v>
      </c>
      <c r="E161" s="1" t="s">
        <v>284</v>
      </c>
      <c r="F161" s="1" t="s">
        <v>61</v>
      </c>
      <c r="G161" s="1" t="s">
        <v>23</v>
      </c>
      <c r="H161">
        <v>3090201</v>
      </c>
      <c r="I161" s="1" t="s">
        <v>285</v>
      </c>
      <c r="J161">
        <v>70</v>
      </c>
      <c r="K161">
        <v>139</v>
      </c>
      <c r="L161" s="1" t="s">
        <v>127</v>
      </c>
      <c r="M161" s="1" t="s">
        <v>191</v>
      </c>
      <c r="N161">
        <v>27.068856700000001</v>
      </c>
      <c r="O161">
        <v>-80.888392499999995</v>
      </c>
      <c r="P161" s="1" t="s">
        <v>25</v>
      </c>
      <c r="Q161" s="1" t="s">
        <v>26</v>
      </c>
      <c r="R161" s="1" t="s">
        <v>192</v>
      </c>
      <c r="S161" s="2">
        <v>1470.65</v>
      </c>
    </row>
    <row r="162" spans="1:19" x14ac:dyDescent="0.3">
      <c r="A162" s="1" t="s">
        <v>19</v>
      </c>
      <c r="B162" s="1" t="s">
        <v>181</v>
      </c>
      <c r="C162" s="1" t="s">
        <v>182</v>
      </c>
      <c r="D162" s="1" t="s">
        <v>205</v>
      </c>
      <c r="E162" s="1" t="s">
        <v>206</v>
      </c>
      <c r="F162" s="1" t="s">
        <v>61</v>
      </c>
      <c r="G162" s="1" t="s">
        <v>23</v>
      </c>
      <c r="H162">
        <v>3090201</v>
      </c>
      <c r="I162" s="1" t="s">
        <v>207</v>
      </c>
      <c r="J162">
        <v>66</v>
      </c>
      <c r="K162">
        <v>136</v>
      </c>
      <c r="L162" s="1" t="s">
        <v>127</v>
      </c>
      <c r="M162" s="1" t="s">
        <v>208</v>
      </c>
      <c r="N162">
        <v>27.139493099999999</v>
      </c>
      <c r="O162">
        <v>-80.8495025</v>
      </c>
      <c r="P162" s="1" t="s">
        <v>25</v>
      </c>
      <c r="Q162" s="1" t="s">
        <v>26</v>
      </c>
      <c r="R162" s="1" t="s">
        <v>192</v>
      </c>
      <c r="S162" s="2">
        <v>1470.65</v>
      </c>
    </row>
    <row r="163" spans="1:19" x14ac:dyDescent="0.3">
      <c r="A163" s="1" t="s">
        <v>19</v>
      </c>
      <c r="B163" s="1" t="s">
        <v>181</v>
      </c>
      <c r="C163" s="1" t="s">
        <v>182</v>
      </c>
      <c r="D163" s="1" t="s">
        <v>193</v>
      </c>
      <c r="E163" s="1" t="s">
        <v>194</v>
      </c>
      <c r="F163" s="1" t="s">
        <v>61</v>
      </c>
      <c r="G163" s="1" t="s">
        <v>23</v>
      </c>
      <c r="H163">
        <v>3090201</v>
      </c>
      <c r="I163" s="1" t="s">
        <v>195</v>
      </c>
      <c r="J163">
        <v>66</v>
      </c>
      <c r="K163">
        <v>134</v>
      </c>
      <c r="L163" s="1" t="s">
        <v>127</v>
      </c>
      <c r="M163" s="1" t="s">
        <v>191</v>
      </c>
      <c r="N163">
        <v>26.975832799999999</v>
      </c>
      <c r="O163">
        <v>-81.008618100000007</v>
      </c>
      <c r="P163" s="1" t="s">
        <v>25</v>
      </c>
      <c r="Q163" s="1" t="s">
        <v>26</v>
      </c>
      <c r="R163" s="1" t="s">
        <v>192</v>
      </c>
      <c r="S163" s="2">
        <v>1470.65</v>
      </c>
    </row>
    <row r="164" spans="1:19" x14ac:dyDescent="0.3">
      <c r="A164" s="1" t="s">
        <v>19</v>
      </c>
      <c r="B164" s="1" t="s">
        <v>181</v>
      </c>
      <c r="C164" s="1" t="s">
        <v>182</v>
      </c>
      <c r="D164" s="1" t="s">
        <v>257</v>
      </c>
      <c r="E164" s="1" t="s">
        <v>258</v>
      </c>
      <c r="F164" s="1" t="s">
        <v>61</v>
      </c>
      <c r="G164" s="1" t="s">
        <v>23</v>
      </c>
      <c r="H164">
        <v>3090201</v>
      </c>
      <c r="I164" s="1" t="s">
        <v>259</v>
      </c>
      <c r="J164">
        <v>63</v>
      </c>
      <c r="K164">
        <v>132</v>
      </c>
      <c r="L164" s="1" t="s">
        <v>127</v>
      </c>
      <c r="M164" s="1" t="s">
        <v>191</v>
      </c>
      <c r="N164">
        <v>26.888391899999998</v>
      </c>
      <c r="O164">
        <v>-80.996896100000001</v>
      </c>
      <c r="P164" s="1" t="s">
        <v>25</v>
      </c>
      <c r="Q164" s="1" t="s">
        <v>26</v>
      </c>
      <c r="R164" s="1" t="s">
        <v>192</v>
      </c>
      <c r="S164" s="2">
        <v>1470.65</v>
      </c>
    </row>
    <row r="165" spans="1:19" x14ac:dyDescent="0.3">
      <c r="A165" s="1" t="s">
        <v>19</v>
      </c>
      <c r="B165" s="1" t="s">
        <v>439</v>
      </c>
      <c r="C165" s="1" t="s">
        <v>440</v>
      </c>
      <c r="D165" s="1" t="s">
        <v>441</v>
      </c>
      <c r="E165" s="1" t="s">
        <v>442</v>
      </c>
      <c r="F165" s="1" t="s">
        <v>61</v>
      </c>
      <c r="G165" s="1" t="s">
        <v>23</v>
      </c>
      <c r="H165">
        <v>4080300</v>
      </c>
      <c r="I165" s="1" t="s">
        <v>443</v>
      </c>
      <c r="J165">
        <v>130</v>
      </c>
      <c r="K165">
        <v>130</v>
      </c>
      <c r="L165" s="1" t="s">
        <v>402</v>
      </c>
      <c r="M165" s="1" t="s">
        <v>403</v>
      </c>
      <c r="N165">
        <v>43.941670000000002</v>
      </c>
      <c r="O165">
        <v>-83.623891999999998</v>
      </c>
      <c r="P165" s="1" t="s">
        <v>25</v>
      </c>
      <c r="Q165" s="1" t="s">
        <v>26</v>
      </c>
      <c r="R165" s="1" t="s">
        <v>404</v>
      </c>
      <c r="S165" s="2">
        <v>2976.93</v>
      </c>
    </row>
    <row r="166" spans="1:19" x14ac:dyDescent="0.3">
      <c r="A166" s="1" t="s">
        <v>19</v>
      </c>
      <c r="B166" s="1" t="s">
        <v>769</v>
      </c>
      <c r="C166" s="1" t="s">
        <v>770</v>
      </c>
      <c r="D166" s="1" t="s">
        <v>1467</v>
      </c>
      <c r="E166" s="1" t="s">
        <v>1418</v>
      </c>
      <c r="F166" s="1" t="s">
        <v>61</v>
      </c>
      <c r="G166" s="1" t="s">
        <v>23</v>
      </c>
      <c r="H166">
        <v>4150408</v>
      </c>
      <c r="I166" s="1" t="s">
        <v>1468</v>
      </c>
      <c r="J166">
        <v>130</v>
      </c>
      <c r="K166">
        <v>130</v>
      </c>
      <c r="L166" s="1" t="s">
        <v>1415</v>
      </c>
      <c r="M166" s="1" t="s">
        <v>1251</v>
      </c>
      <c r="N166">
        <v>44.758299999999998</v>
      </c>
      <c r="O166">
        <v>-73.221100000000007</v>
      </c>
      <c r="P166" s="1" t="s">
        <v>396</v>
      </c>
      <c r="Q166" s="1" t="s">
        <v>26</v>
      </c>
      <c r="R166" s="1" t="s">
        <v>783</v>
      </c>
      <c r="S166" s="2">
        <v>1117.76</v>
      </c>
    </row>
    <row r="167" spans="1:19" x14ac:dyDescent="0.3">
      <c r="A167" s="1" t="s">
        <v>19</v>
      </c>
      <c r="B167" s="1" t="s">
        <v>289</v>
      </c>
      <c r="C167" s="1" t="s">
        <v>290</v>
      </c>
      <c r="D167" s="1" t="s">
        <v>298</v>
      </c>
      <c r="E167" s="1" t="s">
        <v>299</v>
      </c>
      <c r="F167" s="1" t="s">
        <v>61</v>
      </c>
      <c r="G167" s="1" t="s">
        <v>23</v>
      </c>
      <c r="H167">
        <v>3080101</v>
      </c>
      <c r="I167" s="1" t="s">
        <v>300</v>
      </c>
      <c r="J167">
        <v>65</v>
      </c>
      <c r="K167">
        <v>130</v>
      </c>
      <c r="L167" s="1" t="s">
        <v>127</v>
      </c>
      <c r="M167" s="1" t="s">
        <v>172</v>
      </c>
      <c r="N167">
        <v>29.308305600000001</v>
      </c>
      <c r="O167">
        <v>-81.606375</v>
      </c>
      <c r="P167" s="1" t="s">
        <v>25</v>
      </c>
      <c r="Q167" s="1" t="s">
        <v>26</v>
      </c>
      <c r="R167" s="1" t="s">
        <v>173</v>
      </c>
      <c r="S167" s="2">
        <v>214.29</v>
      </c>
    </row>
    <row r="168" spans="1:19" x14ac:dyDescent="0.3">
      <c r="A168" s="1" t="s">
        <v>19</v>
      </c>
      <c r="B168" s="1" t="s">
        <v>476</v>
      </c>
      <c r="C168" s="1" t="s">
        <v>477</v>
      </c>
      <c r="D168" s="1" t="s">
        <v>919</v>
      </c>
      <c r="E168" s="1" t="s">
        <v>920</v>
      </c>
      <c r="F168" s="1" t="s">
        <v>480</v>
      </c>
      <c r="G168" s="1" t="s">
        <v>23</v>
      </c>
      <c r="H168">
        <v>4120200</v>
      </c>
      <c r="I168" s="1" t="s">
        <v>921</v>
      </c>
      <c r="J168">
        <v>129</v>
      </c>
      <c r="K168">
        <v>129</v>
      </c>
      <c r="L168" s="1" t="s">
        <v>913</v>
      </c>
      <c r="M168" s="1" t="s">
        <v>88</v>
      </c>
      <c r="N168">
        <v>41.936994599999998</v>
      </c>
      <c r="O168">
        <v>-81.479022700000002</v>
      </c>
      <c r="P168" s="1" t="s">
        <v>396</v>
      </c>
      <c r="Q168" s="1" t="s">
        <v>26</v>
      </c>
      <c r="R168" s="1" t="s">
        <v>915</v>
      </c>
      <c r="S168" s="2">
        <v>25718.799999999999</v>
      </c>
    </row>
    <row r="169" spans="1:19" x14ac:dyDescent="0.3">
      <c r="A169" s="1" t="s">
        <v>19</v>
      </c>
      <c r="B169" s="1" t="s">
        <v>769</v>
      </c>
      <c r="C169" s="1" t="s">
        <v>770</v>
      </c>
      <c r="D169" s="1" t="s">
        <v>1461</v>
      </c>
      <c r="E169" s="1" t="s">
        <v>1418</v>
      </c>
      <c r="F169" s="1" t="s">
        <v>61</v>
      </c>
      <c r="G169" s="1" t="s">
        <v>23</v>
      </c>
      <c r="H169">
        <v>4150408</v>
      </c>
      <c r="I169" s="1" t="s">
        <v>1462</v>
      </c>
      <c r="J169">
        <v>129</v>
      </c>
      <c r="K169">
        <v>129</v>
      </c>
      <c r="L169" s="1" t="s">
        <v>1415</v>
      </c>
      <c r="M169" s="1" t="s">
        <v>1432</v>
      </c>
      <c r="N169">
        <v>44.664700000000003</v>
      </c>
      <c r="O169">
        <v>-73.303299999999993</v>
      </c>
      <c r="P169" s="1" t="s">
        <v>396</v>
      </c>
      <c r="Q169" s="1" t="s">
        <v>26</v>
      </c>
      <c r="R169" s="1" t="s">
        <v>783</v>
      </c>
      <c r="S169" s="2">
        <v>1117.76</v>
      </c>
    </row>
    <row r="170" spans="1:19" x14ac:dyDescent="0.3">
      <c r="A170" s="1" t="s">
        <v>19</v>
      </c>
      <c r="B170" s="1" t="s">
        <v>476</v>
      </c>
      <c r="C170" s="1" t="s">
        <v>477</v>
      </c>
      <c r="D170" s="1" t="s">
        <v>922</v>
      </c>
      <c r="E170" s="1" t="s">
        <v>923</v>
      </c>
      <c r="F170" s="1" t="s">
        <v>480</v>
      </c>
      <c r="G170" s="1" t="s">
        <v>23</v>
      </c>
      <c r="H170">
        <v>4120200</v>
      </c>
      <c r="I170" s="1" t="s">
        <v>924</v>
      </c>
      <c r="J170">
        <v>128</v>
      </c>
      <c r="K170">
        <v>128</v>
      </c>
      <c r="L170" s="1" t="s">
        <v>913</v>
      </c>
      <c r="M170" s="1" t="s">
        <v>925</v>
      </c>
      <c r="N170">
        <v>41.8065243</v>
      </c>
      <c r="O170">
        <v>-81.945008000000001</v>
      </c>
      <c r="P170" s="1" t="s">
        <v>396</v>
      </c>
      <c r="Q170" s="1" t="s">
        <v>26</v>
      </c>
      <c r="R170" s="1" t="s">
        <v>915</v>
      </c>
      <c r="S170" s="2">
        <v>25718.799999999999</v>
      </c>
    </row>
    <row r="171" spans="1:19" x14ac:dyDescent="0.3">
      <c r="A171" s="1" t="s">
        <v>19</v>
      </c>
      <c r="B171" s="1" t="s">
        <v>476</v>
      </c>
      <c r="C171" s="1" t="s">
        <v>477</v>
      </c>
      <c r="D171" s="1" t="s">
        <v>936</v>
      </c>
      <c r="E171" s="1" t="s">
        <v>937</v>
      </c>
      <c r="F171" s="1" t="s">
        <v>480</v>
      </c>
      <c r="G171" s="1" t="s">
        <v>23</v>
      </c>
      <c r="H171">
        <v>4120200</v>
      </c>
      <c r="I171" s="1" t="s">
        <v>938</v>
      </c>
      <c r="J171">
        <v>127</v>
      </c>
      <c r="K171">
        <v>127</v>
      </c>
      <c r="L171" s="1" t="s">
        <v>913</v>
      </c>
      <c r="M171" s="1" t="s">
        <v>925</v>
      </c>
      <c r="N171">
        <v>41.977692500000003</v>
      </c>
      <c r="O171">
        <v>-81.756961700000005</v>
      </c>
      <c r="P171" s="1" t="s">
        <v>396</v>
      </c>
      <c r="Q171" s="1" t="s">
        <v>26</v>
      </c>
      <c r="R171" s="1" t="s">
        <v>915</v>
      </c>
      <c r="S171" s="2">
        <v>25718.799999999999</v>
      </c>
    </row>
    <row r="172" spans="1:19" x14ac:dyDescent="0.3">
      <c r="A172" s="1" t="s">
        <v>19</v>
      </c>
      <c r="B172" s="1" t="s">
        <v>439</v>
      </c>
      <c r="C172" s="1" t="s">
        <v>440</v>
      </c>
      <c r="D172" s="1" t="s">
        <v>462</v>
      </c>
      <c r="E172" s="1" t="s">
        <v>463</v>
      </c>
      <c r="F172" s="1" t="s">
        <v>61</v>
      </c>
      <c r="G172" s="1" t="s">
        <v>23</v>
      </c>
      <c r="H172">
        <v>4080300</v>
      </c>
      <c r="I172" s="1" t="s">
        <v>464</v>
      </c>
      <c r="J172">
        <v>127</v>
      </c>
      <c r="K172">
        <v>127</v>
      </c>
      <c r="L172" s="1" t="s">
        <v>402</v>
      </c>
      <c r="M172" s="1" t="s">
        <v>417</v>
      </c>
      <c r="N172">
        <v>43.846947999999998</v>
      </c>
      <c r="O172">
        <v>-83.562505000000002</v>
      </c>
      <c r="P172" s="1" t="s">
        <v>25</v>
      </c>
      <c r="Q172" s="1" t="s">
        <v>26</v>
      </c>
      <c r="R172" s="1" t="s">
        <v>404</v>
      </c>
      <c r="S172" s="2">
        <v>2976.93</v>
      </c>
    </row>
    <row r="173" spans="1:19" x14ac:dyDescent="0.3">
      <c r="A173" s="1" t="s">
        <v>19</v>
      </c>
      <c r="B173" s="1" t="s">
        <v>439</v>
      </c>
      <c r="C173" s="1" t="s">
        <v>440</v>
      </c>
      <c r="D173" s="1" t="s">
        <v>474</v>
      </c>
      <c r="E173" s="1" t="s">
        <v>422</v>
      </c>
      <c r="F173" s="1" t="s">
        <v>61</v>
      </c>
      <c r="G173" s="1" t="s">
        <v>23</v>
      </c>
      <c r="H173">
        <v>4240002</v>
      </c>
      <c r="I173" s="1" t="s">
        <v>475</v>
      </c>
      <c r="J173">
        <v>127</v>
      </c>
      <c r="K173">
        <v>127</v>
      </c>
      <c r="L173" s="1" t="s">
        <v>402</v>
      </c>
      <c r="M173" s="1" t="s">
        <v>424</v>
      </c>
      <c r="N173">
        <v>43.738337000000001</v>
      </c>
      <c r="O173">
        <v>-83.640837000000005</v>
      </c>
      <c r="P173" s="1" t="s">
        <v>25</v>
      </c>
      <c r="Q173" s="1" t="s">
        <v>26</v>
      </c>
      <c r="R173" s="1" t="s">
        <v>404</v>
      </c>
      <c r="S173" s="2">
        <v>2976.93</v>
      </c>
    </row>
    <row r="174" spans="1:19" x14ac:dyDescent="0.3">
      <c r="A174" s="1" t="s">
        <v>19</v>
      </c>
      <c r="B174" s="1" t="s">
        <v>439</v>
      </c>
      <c r="C174" s="1" t="s">
        <v>440</v>
      </c>
      <c r="D174" s="1" t="s">
        <v>452</v>
      </c>
      <c r="E174" s="1" t="s">
        <v>453</v>
      </c>
      <c r="F174" s="1" t="s">
        <v>61</v>
      </c>
      <c r="G174" s="1" t="s">
        <v>23</v>
      </c>
      <c r="H174">
        <v>4080300</v>
      </c>
      <c r="I174" s="1" t="s">
        <v>454</v>
      </c>
      <c r="J174">
        <v>126</v>
      </c>
      <c r="K174">
        <v>126</v>
      </c>
      <c r="L174" s="1" t="s">
        <v>402</v>
      </c>
      <c r="M174" s="1" t="s">
        <v>143</v>
      </c>
      <c r="N174">
        <v>43.684725999999998</v>
      </c>
      <c r="O174">
        <v>-83.843059999999994</v>
      </c>
      <c r="P174" s="1" t="s">
        <v>25</v>
      </c>
      <c r="Q174" s="1" t="s">
        <v>26</v>
      </c>
      <c r="R174" s="1" t="s">
        <v>404</v>
      </c>
      <c r="S174" s="2">
        <v>2976.93</v>
      </c>
    </row>
    <row r="175" spans="1:19" x14ac:dyDescent="0.3">
      <c r="A175" s="1" t="s">
        <v>19</v>
      </c>
      <c r="B175" s="1" t="s">
        <v>439</v>
      </c>
      <c r="C175" s="1" t="s">
        <v>440</v>
      </c>
      <c r="D175" s="1" t="s">
        <v>465</v>
      </c>
      <c r="E175" s="1" t="s">
        <v>466</v>
      </c>
      <c r="F175" s="1" t="s">
        <v>61</v>
      </c>
      <c r="G175" s="1" t="s">
        <v>23</v>
      </c>
      <c r="H175">
        <v>4080300</v>
      </c>
      <c r="I175" s="1" t="s">
        <v>467</v>
      </c>
      <c r="J175">
        <v>126</v>
      </c>
      <c r="K175">
        <v>126</v>
      </c>
      <c r="L175" s="1" t="s">
        <v>402</v>
      </c>
      <c r="M175" s="1" t="s">
        <v>417</v>
      </c>
      <c r="N175">
        <v>43.883336999999997</v>
      </c>
      <c r="O175">
        <v>-83.393058999999994</v>
      </c>
      <c r="P175" s="1" t="s">
        <v>25</v>
      </c>
      <c r="Q175" s="1" t="s">
        <v>26</v>
      </c>
      <c r="R175" s="1" t="s">
        <v>404</v>
      </c>
      <c r="S175" s="2">
        <v>2976.93</v>
      </c>
    </row>
    <row r="176" spans="1:19" x14ac:dyDescent="0.3">
      <c r="A176" s="1" t="s">
        <v>19</v>
      </c>
      <c r="B176" s="1" t="s">
        <v>1499</v>
      </c>
      <c r="C176" s="1" t="s">
        <v>1500</v>
      </c>
      <c r="D176" s="1" t="s">
        <v>1578</v>
      </c>
      <c r="E176" s="1" t="s">
        <v>1572</v>
      </c>
      <c r="F176" s="1" t="s">
        <v>480</v>
      </c>
      <c r="G176" s="1" t="s">
        <v>23</v>
      </c>
      <c r="H176">
        <v>4060200</v>
      </c>
      <c r="I176" s="1" t="s">
        <v>1579</v>
      </c>
      <c r="J176">
        <v>125</v>
      </c>
      <c r="K176">
        <v>125</v>
      </c>
      <c r="L176" s="1" t="s">
        <v>1479</v>
      </c>
      <c r="M176" s="1" t="s">
        <v>1507</v>
      </c>
      <c r="N176">
        <v>42.893832699999997</v>
      </c>
      <c r="O176">
        <v>-87.841333399999996</v>
      </c>
      <c r="P176" s="1" t="s">
        <v>25</v>
      </c>
      <c r="Q176" s="1" t="s">
        <v>26</v>
      </c>
      <c r="R176" s="1" t="s">
        <v>518</v>
      </c>
      <c r="S176" s="2">
        <v>52823.5</v>
      </c>
    </row>
    <row r="177" spans="1:19" x14ac:dyDescent="0.3">
      <c r="A177" s="1" t="s">
        <v>19</v>
      </c>
      <c r="B177" s="1" t="s">
        <v>1499</v>
      </c>
      <c r="C177" s="1" t="s">
        <v>1500</v>
      </c>
      <c r="D177" s="1" t="s">
        <v>1580</v>
      </c>
      <c r="E177" s="1" t="s">
        <v>1572</v>
      </c>
      <c r="F177" s="1" t="s">
        <v>480</v>
      </c>
      <c r="G177" s="1" t="s">
        <v>23</v>
      </c>
      <c r="H177">
        <v>4060200</v>
      </c>
      <c r="I177" s="1" t="s">
        <v>1581</v>
      </c>
      <c r="J177">
        <v>125</v>
      </c>
      <c r="K177">
        <v>125</v>
      </c>
      <c r="L177" s="1" t="s">
        <v>1479</v>
      </c>
      <c r="M177" s="1" t="s">
        <v>1507</v>
      </c>
      <c r="N177">
        <v>42.893832699999997</v>
      </c>
      <c r="O177">
        <v>-87.834000399999994</v>
      </c>
      <c r="P177" s="1" t="s">
        <v>25</v>
      </c>
      <c r="Q177" s="1" t="s">
        <v>26</v>
      </c>
      <c r="R177" s="1" t="s">
        <v>518</v>
      </c>
      <c r="S177" s="2">
        <v>52823.5</v>
      </c>
    </row>
    <row r="178" spans="1:19" x14ac:dyDescent="0.3">
      <c r="A178" s="1" t="s">
        <v>19</v>
      </c>
      <c r="B178" s="1" t="s">
        <v>1499</v>
      </c>
      <c r="C178" s="1" t="s">
        <v>1500</v>
      </c>
      <c r="D178" s="1" t="s">
        <v>1584</v>
      </c>
      <c r="E178" s="1" t="s">
        <v>1572</v>
      </c>
      <c r="F178" s="1" t="s">
        <v>480</v>
      </c>
      <c r="G178" s="1" t="s">
        <v>23</v>
      </c>
      <c r="H178">
        <v>4060200</v>
      </c>
      <c r="I178" s="1" t="s">
        <v>1585</v>
      </c>
      <c r="J178">
        <v>125</v>
      </c>
      <c r="K178">
        <v>125</v>
      </c>
      <c r="L178" s="1" t="s">
        <v>1479</v>
      </c>
      <c r="M178" s="1" t="s">
        <v>1507</v>
      </c>
      <c r="N178">
        <v>42.888499699999997</v>
      </c>
      <c r="O178">
        <v>-87.841333399999996</v>
      </c>
      <c r="P178" s="1" t="s">
        <v>25</v>
      </c>
      <c r="Q178" s="1" t="s">
        <v>26</v>
      </c>
      <c r="R178" s="1" t="s">
        <v>518</v>
      </c>
      <c r="S178" s="2">
        <v>52823.5</v>
      </c>
    </row>
    <row r="179" spans="1:19" x14ac:dyDescent="0.3">
      <c r="A179" s="1" t="s">
        <v>19</v>
      </c>
      <c r="B179" s="1" t="s">
        <v>1499</v>
      </c>
      <c r="C179" s="1" t="s">
        <v>1500</v>
      </c>
      <c r="D179" s="1" t="s">
        <v>1586</v>
      </c>
      <c r="E179" s="1" t="s">
        <v>1572</v>
      </c>
      <c r="F179" s="1" t="s">
        <v>480</v>
      </c>
      <c r="G179" s="1" t="s">
        <v>23</v>
      </c>
      <c r="H179">
        <v>4060200</v>
      </c>
      <c r="I179" s="1" t="s">
        <v>1587</v>
      </c>
      <c r="J179">
        <v>125</v>
      </c>
      <c r="K179">
        <v>125</v>
      </c>
      <c r="L179" s="1" t="s">
        <v>1479</v>
      </c>
      <c r="M179" s="1" t="s">
        <v>1507</v>
      </c>
      <c r="N179">
        <v>42.888499699999997</v>
      </c>
      <c r="O179">
        <v>-87.834000399999994</v>
      </c>
      <c r="P179" s="1" t="s">
        <v>25</v>
      </c>
      <c r="Q179" s="1" t="s">
        <v>26</v>
      </c>
      <c r="R179" s="1" t="s">
        <v>518</v>
      </c>
      <c r="S179" s="2">
        <v>52823.5</v>
      </c>
    </row>
    <row r="180" spans="1:19" x14ac:dyDescent="0.3">
      <c r="A180" s="1" t="s">
        <v>62</v>
      </c>
      <c r="B180" s="1" t="s">
        <v>942</v>
      </c>
      <c r="C180" s="1" t="s">
        <v>943</v>
      </c>
      <c r="D180" s="1" t="s">
        <v>985</v>
      </c>
      <c r="E180" s="1" t="s">
        <v>986</v>
      </c>
      <c r="F180" s="1" t="s">
        <v>23</v>
      </c>
      <c r="G180" s="1" t="s">
        <v>23</v>
      </c>
      <c r="H180">
        <v>17120001</v>
      </c>
      <c r="I180" s="1" t="s">
        <v>987</v>
      </c>
      <c r="J180">
        <v>57</v>
      </c>
      <c r="K180">
        <v>124</v>
      </c>
      <c r="L180" s="1" t="s">
        <v>947</v>
      </c>
      <c r="M180" s="1" t="s">
        <v>983</v>
      </c>
      <c r="N180">
        <v>43.334530600000001</v>
      </c>
      <c r="O180">
        <v>-118.7594722</v>
      </c>
      <c r="P180" s="1" t="s">
        <v>25</v>
      </c>
      <c r="Q180" s="1" t="s">
        <v>26</v>
      </c>
      <c r="R180" s="1" t="s">
        <v>984</v>
      </c>
      <c r="S180" s="2">
        <v>275.04399999999998</v>
      </c>
    </row>
    <row r="181" spans="1:19" x14ac:dyDescent="0.3">
      <c r="A181" s="1" t="s">
        <v>19</v>
      </c>
      <c r="B181" s="1" t="s">
        <v>476</v>
      </c>
      <c r="C181" s="1" t="s">
        <v>477</v>
      </c>
      <c r="D181" s="1" t="s">
        <v>916</v>
      </c>
      <c r="E181" s="1" t="s">
        <v>917</v>
      </c>
      <c r="F181" s="1" t="s">
        <v>480</v>
      </c>
      <c r="G181" s="1" t="s">
        <v>23</v>
      </c>
      <c r="H181">
        <v>4120200</v>
      </c>
      <c r="I181" s="1" t="s">
        <v>918</v>
      </c>
      <c r="J181">
        <v>122</v>
      </c>
      <c r="K181">
        <v>122</v>
      </c>
      <c r="L181" s="1" t="s">
        <v>913</v>
      </c>
      <c r="M181" s="1" t="s">
        <v>88</v>
      </c>
      <c r="N181">
        <v>42.081605699999997</v>
      </c>
      <c r="O181">
        <v>-81.011850699999997</v>
      </c>
      <c r="P181" s="1" t="s">
        <v>396</v>
      </c>
      <c r="Q181" s="1" t="s">
        <v>26</v>
      </c>
      <c r="R181" s="1" t="s">
        <v>915</v>
      </c>
      <c r="S181" s="2">
        <v>25718.799999999999</v>
      </c>
    </row>
    <row r="182" spans="1:19" x14ac:dyDescent="0.3">
      <c r="A182" s="1" t="s">
        <v>19</v>
      </c>
      <c r="B182" s="1" t="s">
        <v>439</v>
      </c>
      <c r="C182" s="1" t="s">
        <v>440</v>
      </c>
      <c r="D182" s="1" t="s">
        <v>450</v>
      </c>
      <c r="E182" s="1" t="s">
        <v>409</v>
      </c>
      <c r="F182" s="1" t="s">
        <v>61</v>
      </c>
      <c r="G182" s="1" t="s">
        <v>23</v>
      </c>
      <c r="H182">
        <v>4080300</v>
      </c>
      <c r="I182" s="1" t="s">
        <v>451</v>
      </c>
      <c r="J182">
        <v>122</v>
      </c>
      <c r="K182">
        <v>122</v>
      </c>
      <c r="L182" s="1" t="s">
        <v>402</v>
      </c>
      <c r="M182" s="1" t="s">
        <v>143</v>
      </c>
      <c r="N182">
        <v>43.838059000000001</v>
      </c>
      <c r="O182">
        <v>-83.792781000000005</v>
      </c>
      <c r="P182" s="1" t="s">
        <v>25</v>
      </c>
      <c r="Q182" s="1" t="s">
        <v>26</v>
      </c>
      <c r="R182" s="1" t="s">
        <v>404</v>
      </c>
      <c r="S182" s="2">
        <v>2976.93</v>
      </c>
    </row>
    <row r="183" spans="1:19" x14ac:dyDescent="0.3">
      <c r="A183" s="1" t="s">
        <v>19</v>
      </c>
      <c r="B183" s="1" t="s">
        <v>1233</v>
      </c>
      <c r="C183" s="1" t="s">
        <v>1234</v>
      </c>
      <c r="D183" s="1" t="s">
        <v>1336</v>
      </c>
      <c r="E183" s="1" t="s">
        <v>1294</v>
      </c>
      <c r="F183" s="1" t="s">
        <v>22</v>
      </c>
      <c r="G183" s="1" t="s">
        <v>23</v>
      </c>
      <c r="H183">
        <v>12030108</v>
      </c>
      <c r="I183" s="1" t="s">
        <v>1337</v>
      </c>
      <c r="J183">
        <v>121</v>
      </c>
      <c r="K183">
        <v>121</v>
      </c>
      <c r="L183" s="1" t="s">
        <v>1232</v>
      </c>
      <c r="M183" s="1" t="s">
        <v>1292</v>
      </c>
      <c r="N183">
        <v>31.974399999999999</v>
      </c>
      <c r="O183">
        <v>-96.191500000000005</v>
      </c>
      <c r="P183" s="1" t="s">
        <v>25</v>
      </c>
      <c r="Q183" s="1" t="s">
        <v>1594</v>
      </c>
      <c r="R183" s="1" t="s">
        <v>1296</v>
      </c>
      <c r="S183" s="2">
        <v>169.14400000000001</v>
      </c>
    </row>
    <row r="184" spans="1:19" x14ac:dyDescent="0.3">
      <c r="A184" s="1" t="s">
        <v>19</v>
      </c>
      <c r="B184" s="1" t="s">
        <v>181</v>
      </c>
      <c r="C184" s="1" t="s">
        <v>182</v>
      </c>
      <c r="D184" s="1" t="s">
        <v>254</v>
      </c>
      <c r="E184" s="1" t="s">
        <v>255</v>
      </c>
      <c r="F184" s="1" t="s">
        <v>61</v>
      </c>
      <c r="G184" s="1" t="s">
        <v>23</v>
      </c>
      <c r="H184">
        <v>3090201</v>
      </c>
      <c r="I184" s="1" t="s">
        <v>256</v>
      </c>
      <c r="J184">
        <v>59</v>
      </c>
      <c r="K184">
        <v>120</v>
      </c>
      <c r="L184" s="1" t="s">
        <v>127</v>
      </c>
      <c r="M184" s="1" t="s">
        <v>191</v>
      </c>
      <c r="N184">
        <v>26.877309199999999</v>
      </c>
      <c r="O184">
        <v>-81.019618899999998</v>
      </c>
      <c r="P184" s="1" t="s">
        <v>25</v>
      </c>
      <c r="Q184" s="1" t="s">
        <v>26</v>
      </c>
      <c r="R184" s="1" t="s">
        <v>192</v>
      </c>
      <c r="S184" s="2">
        <v>1470.65</v>
      </c>
    </row>
    <row r="185" spans="1:19" x14ac:dyDescent="0.3">
      <c r="A185" s="1" t="s">
        <v>19</v>
      </c>
      <c r="B185" s="1" t="s">
        <v>706</v>
      </c>
      <c r="C185" s="1" t="s">
        <v>707</v>
      </c>
      <c r="D185" s="1" t="s">
        <v>708</v>
      </c>
      <c r="E185" s="1" t="s">
        <v>709</v>
      </c>
      <c r="F185" s="1" t="s">
        <v>61</v>
      </c>
      <c r="G185" s="1" t="s">
        <v>23</v>
      </c>
      <c r="H185">
        <v>10180014</v>
      </c>
      <c r="I185" s="1" t="s">
        <v>710</v>
      </c>
      <c r="J185">
        <v>120</v>
      </c>
      <c r="K185">
        <v>120</v>
      </c>
      <c r="L185" s="1" t="s">
        <v>705</v>
      </c>
      <c r="M185" s="1" t="s">
        <v>711</v>
      </c>
      <c r="N185">
        <v>41.223469999999999</v>
      </c>
      <c r="O185">
        <v>-101.68465</v>
      </c>
      <c r="P185" s="1" t="s">
        <v>25</v>
      </c>
      <c r="Q185" s="1" t="s">
        <v>26</v>
      </c>
      <c r="R185" s="1" t="s">
        <v>712</v>
      </c>
      <c r="S185" s="2">
        <v>113.08</v>
      </c>
    </row>
    <row r="186" spans="1:19" x14ac:dyDescent="0.3">
      <c r="A186" s="1" t="s">
        <v>19</v>
      </c>
      <c r="B186" s="1" t="s">
        <v>1233</v>
      </c>
      <c r="C186" s="1" t="s">
        <v>1234</v>
      </c>
      <c r="D186" s="1" t="s">
        <v>1333</v>
      </c>
      <c r="E186" s="1" t="s">
        <v>1294</v>
      </c>
      <c r="F186" s="1" t="s">
        <v>22</v>
      </c>
      <c r="G186" s="1" t="s">
        <v>23</v>
      </c>
      <c r="H186">
        <v>12030108</v>
      </c>
      <c r="I186" s="1" t="s">
        <v>1334</v>
      </c>
      <c r="J186">
        <v>119</v>
      </c>
      <c r="K186">
        <v>119</v>
      </c>
      <c r="L186" s="1" t="s">
        <v>1232</v>
      </c>
      <c r="M186" s="1" t="s">
        <v>1335</v>
      </c>
      <c r="N186">
        <v>31.968800000000002</v>
      </c>
      <c r="O186">
        <v>-96.096599999999995</v>
      </c>
      <c r="P186" s="1" t="s">
        <v>25</v>
      </c>
      <c r="Q186" s="1" t="s">
        <v>1594</v>
      </c>
      <c r="R186" s="1" t="s">
        <v>1296</v>
      </c>
      <c r="S186" s="2">
        <v>169.14400000000001</v>
      </c>
    </row>
    <row r="187" spans="1:19" x14ac:dyDescent="0.3">
      <c r="A187" s="1" t="s">
        <v>19</v>
      </c>
      <c r="B187" s="1" t="s">
        <v>476</v>
      </c>
      <c r="C187" s="1" t="s">
        <v>477</v>
      </c>
      <c r="D187" s="1" t="s">
        <v>926</v>
      </c>
      <c r="E187" s="1" t="s">
        <v>927</v>
      </c>
      <c r="F187" s="1" t="s">
        <v>480</v>
      </c>
      <c r="G187" s="1" t="s">
        <v>23</v>
      </c>
      <c r="H187">
        <v>4120200</v>
      </c>
      <c r="I187" s="1" t="s">
        <v>928</v>
      </c>
      <c r="J187">
        <v>118</v>
      </c>
      <c r="K187">
        <v>118</v>
      </c>
      <c r="L187" s="1" t="s">
        <v>913</v>
      </c>
      <c r="M187" s="1" t="s">
        <v>525</v>
      </c>
      <c r="N187">
        <v>41.6867436</v>
      </c>
      <c r="O187">
        <v>-82.933309699999995</v>
      </c>
      <c r="P187" s="1" t="s">
        <v>396</v>
      </c>
      <c r="Q187" s="1" t="s">
        <v>26</v>
      </c>
      <c r="R187" s="1" t="s">
        <v>915</v>
      </c>
      <c r="S187" s="2">
        <v>25718.799999999999</v>
      </c>
    </row>
    <row r="188" spans="1:19" x14ac:dyDescent="0.3">
      <c r="A188" s="1" t="s">
        <v>19</v>
      </c>
      <c r="B188" s="1" t="s">
        <v>439</v>
      </c>
      <c r="C188" s="1" t="s">
        <v>440</v>
      </c>
      <c r="D188" s="1" t="s">
        <v>444</v>
      </c>
      <c r="E188" s="1" t="s">
        <v>445</v>
      </c>
      <c r="F188" s="1" t="s">
        <v>61</v>
      </c>
      <c r="G188" s="1" t="s">
        <v>23</v>
      </c>
      <c r="H188">
        <v>4080300</v>
      </c>
      <c r="I188" s="1" t="s">
        <v>446</v>
      </c>
      <c r="J188">
        <v>117</v>
      </c>
      <c r="K188">
        <v>117</v>
      </c>
      <c r="L188" s="1" t="s">
        <v>402</v>
      </c>
      <c r="M188" s="1" t="s">
        <v>403</v>
      </c>
      <c r="N188">
        <v>43.895280999999997</v>
      </c>
      <c r="O188">
        <v>-83.860558999999995</v>
      </c>
      <c r="P188" s="1" t="s">
        <v>25</v>
      </c>
      <c r="Q188" s="1" t="s">
        <v>26</v>
      </c>
      <c r="R188" s="1" t="s">
        <v>404</v>
      </c>
      <c r="S188" s="2">
        <v>2976.93</v>
      </c>
    </row>
    <row r="189" spans="1:19" x14ac:dyDescent="0.3">
      <c r="A189" s="1" t="s">
        <v>19</v>
      </c>
      <c r="B189" s="1" t="s">
        <v>476</v>
      </c>
      <c r="C189" s="1" t="s">
        <v>477</v>
      </c>
      <c r="D189" s="1" t="s">
        <v>929</v>
      </c>
      <c r="E189" s="1" t="s">
        <v>930</v>
      </c>
      <c r="F189" s="1" t="s">
        <v>480</v>
      </c>
      <c r="G189" s="1" t="s">
        <v>23</v>
      </c>
      <c r="H189">
        <v>4120200</v>
      </c>
      <c r="I189" s="1" t="s">
        <v>931</v>
      </c>
      <c r="J189">
        <v>113</v>
      </c>
      <c r="K189">
        <v>113</v>
      </c>
      <c r="L189" s="1" t="s">
        <v>913</v>
      </c>
      <c r="M189" s="1" t="s">
        <v>932</v>
      </c>
      <c r="N189">
        <v>41.726711600000002</v>
      </c>
      <c r="O189">
        <v>-83.150129899999996</v>
      </c>
      <c r="P189" s="1" t="s">
        <v>396</v>
      </c>
      <c r="Q189" s="1" t="s">
        <v>26</v>
      </c>
      <c r="R189" s="1" t="s">
        <v>915</v>
      </c>
      <c r="S189" s="2">
        <v>25718.799999999999</v>
      </c>
    </row>
    <row r="190" spans="1:19" x14ac:dyDescent="0.3">
      <c r="A190" s="1" t="s">
        <v>19</v>
      </c>
      <c r="B190" s="1" t="s">
        <v>476</v>
      </c>
      <c r="C190" s="1" t="s">
        <v>477</v>
      </c>
      <c r="D190" s="1" t="s">
        <v>933</v>
      </c>
      <c r="E190" s="1" t="s">
        <v>934</v>
      </c>
      <c r="F190" s="1" t="s">
        <v>480</v>
      </c>
      <c r="G190" s="1" t="s">
        <v>23</v>
      </c>
      <c r="H190">
        <v>4120200</v>
      </c>
      <c r="I190" s="1" t="s">
        <v>935</v>
      </c>
      <c r="J190">
        <v>110</v>
      </c>
      <c r="K190">
        <v>110</v>
      </c>
      <c r="L190" s="1" t="s">
        <v>913</v>
      </c>
      <c r="M190" s="1" t="s">
        <v>932</v>
      </c>
      <c r="N190">
        <v>41.891554399999997</v>
      </c>
      <c r="O190">
        <v>-83.196238800000003</v>
      </c>
      <c r="P190" s="1" t="s">
        <v>396</v>
      </c>
      <c r="Q190" s="1" t="s">
        <v>26</v>
      </c>
      <c r="R190" s="1" t="s">
        <v>915</v>
      </c>
      <c r="S190" s="2">
        <v>25718.799999999999</v>
      </c>
    </row>
    <row r="191" spans="1:19" x14ac:dyDescent="0.3">
      <c r="A191" s="1" t="s">
        <v>19</v>
      </c>
      <c r="B191" s="1" t="s">
        <v>1233</v>
      </c>
      <c r="C191" s="1" t="s">
        <v>1234</v>
      </c>
      <c r="D191" s="1" t="s">
        <v>1367</v>
      </c>
      <c r="E191" s="1" t="s">
        <v>1368</v>
      </c>
      <c r="F191" s="1" t="s">
        <v>22</v>
      </c>
      <c r="G191" s="1" t="s">
        <v>23</v>
      </c>
      <c r="H191">
        <v>12030107</v>
      </c>
      <c r="I191" s="1" t="s">
        <v>1369</v>
      </c>
      <c r="J191">
        <v>109</v>
      </c>
      <c r="K191">
        <v>109</v>
      </c>
      <c r="L191" s="1" t="s">
        <v>1232</v>
      </c>
      <c r="M191" s="1" t="s">
        <v>1347</v>
      </c>
      <c r="N191">
        <v>32.201700000000002</v>
      </c>
      <c r="O191">
        <v>-96.068899999999999</v>
      </c>
      <c r="P191" s="1" t="s">
        <v>25</v>
      </c>
      <c r="Q191" s="1" t="s">
        <v>1594</v>
      </c>
      <c r="R191" s="1" t="s">
        <v>1366</v>
      </c>
      <c r="S191" s="2">
        <v>127.657</v>
      </c>
    </row>
    <row r="192" spans="1:19" x14ac:dyDescent="0.3">
      <c r="A192" s="1" t="s">
        <v>62</v>
      </c>
      <c r="B192" s="1" t="s">
        <v>942</v>
      </c>
      <c r="C192" s="1" t="s">
        <v>943</v>
      </c>
      <c r="D192" s="1" t="s">
        <v>968</v>
      </c>
      <c r="E192" s="1" t="s">
        <v>969</v>
      </c>
      <c r="F192" s="1" t="s">
        <v>23</v>
      </c>
      <c r="G192" s="1" t="s">
        <v>23</v>
      </c>
      <c r="H192">
        <v>18010203</v>
      </c>
      <c r="I192" s="1" t="s">
        <v>970</v>
      </c>
      <c r="J192">
        <v>98</v>
      </c>
      <c r="K192">
        <v>98</v>
      </c>
      <c r="L192" s="1" t="s">
        <v>947</v>
      </c>
      <c r="M192" s="1" t="s">
        <v>948</v>
      </c>
      <c r="N192">
        <v>42.432971100000003</v>
      </c>
      <c r="O192">
        <v>-121.963376</v>
      </c>
      <c r="P192" s="1" t="s">
        <v>25</v>
      </c>
      <c r="Q192" s="1" t="s">
        <v>26</v>
      </c>
      <c r="R192" s="1" t="s">
        <v>949</v>
      </c>
      <c r="S192" s="2">
        <v>228.505</v>
      </c>
    </row>
    <row r="193" spans="1:19" x14ac:dyDescent="0.3">
      <c r="A193" s="1" t="s">
        <v>19</v>
      </c>
      <c r="B193" s="1" t="s">
        <v>1233</v>
      </c>
      <c r="C193" s="1" t="s">
        <v>1234</v>
      </c>
      <c r="D193" s="1" t="s">
        <v>1370</v>
      </c>
      <c r="E193" s="1" t="s">
        <v>1371</v>
      </c>
      <c r="F193" s="1" t="s">
        <v>22</v>
      </c>
      <c r="G193" s="1" t="s">
        <v>23</v>
      </c>
      <c r="H193">
        <v>12030107</v>
      </c>
      <c r="I193" s="1" t="s">
        <v>1372</v>
      </c>
      <c r="J193">
        <v>96</v>
      </c>
      <c r="K193">
        <v>96</v>
      </c>
      <c r="L193" s="1" t="s">
        <v>1232</v>
      </c>
      <c r="M193" s="1" t="s">
        <v>1347</v>
      </c>
      <c r="N193">
        <v>32.227499999999999</v>
      </c>
      <c r="O193">
        <v>-96.095799999999997</v>
      </c>
      <c r="P193" s="1" t="s">
        <v>25</v>
      </c>
      <c r="Q193" s="1" t="s">
        <v>1594</v>
      </c>
      <c r="R193" s="1" t="s">
        <v>1366</v>
      </c>
      <c r="S193" s="2">
        <v>127.657</v>
      </c>
    </row>
    <row r="194" spans="1:19" x14ac:dyDescent="0.3">
      <c r="A194" s="1" t="s">
        <v>19</v>
      </c>
      <c r="B194" s="1" t="s">
        <v>1233</v>
      </c>
      <c r="C194" s="1" t="s">
        <v>1234</v>
      </c>
      <c r="D194" s="1" t="s">
        <v>1373</v>
      </c>
      <c r="E194" s="1" t="s">
        <v>1374</v>
      </c>
      <c r="F194" s="1" t="s">
        <v>22</v>
      </c>
      <c r="G194" s="1" t="s">
        <v>23</v>
      </c>
      <c r="H194">
        <v>12030107</v>
      </c>
      <c r="I194" s="1" t="s">
        <v>1375</v>
      </c>
      <c r="J194">
        <v>94</v>
      </c>
      <c r="K194">
        <v>94</v>
      </c>
      <c r="L194" s="1" t="s">
        <v>1232</v>
      </c>
      <c r="M194" s="1" t="s">
        <v>1347</v>
      </c>
      <c r="N194">
        <v>32.338099999999997</v>
      </c>
      <c r="O194">
        <v>-96.181100000000001</v>
      </c>
      <c r="P194" s="1" t="s">
        <v>25</v>
      </c>
      <c r="Q194" s="1" t="s">
        <v>1594</v>
      </c>
      <c r="R194" s="1" t="s">
        <v>1366</v>
      </c>
      <c r="S194" s="2">
        <v>127.657</v>
      </c>
    </row>
    <row r="195" spans="1:19" x14ac:dyDescent="0.3">
      <c r="A195" s="1" t="s">
        <v>19</v>
      </c>
      <c r="B195" s="1" t="s">
        <v>1233</v>
      </c>
      <c r="C195" s="1" t="s">
        <v>1234</v>
      </c>
      <c r="D195" s="1" t="s">
        <v>1348</v>
      </c>
      <c r="E195" s="1" t="s">
        <v>1349</v>
      </c>
      <c r="F195" s="1" t="s">
        <v>22</v>
      </c>
      <c r="G195" s="1" t="s">
        <v>23</v>
      </c>
      <c r="H195">
        <v>11130210</v>
      </c>
      <c r="I195" s="1" t="s">
        <v>1350</v>
      </c>
      <c r="J195">
        <v>93</v>
      </c>
      <c r="K195">
        <v>93</v>
      </c>
      <c r="L195" s="1" t="s">
        <v>1232</v>
      </c>
      <c r="M195" s="1" t="s">
        <v>1238</v>
      </c>
      <c r="N195">
        <v>33.846800000000002</v>
      </c>
      <c r="O195">
        <v>-96.629900000000006</v>
      </c>
      <c r="P195" s="1" t="s">
        <v>25</v>
      </c>
      <c r="Q195" s="1" t="s">
        <v>26</v>
      </c>
      <c r="R195" s="1" t="s">
        <v>1239</v>
      </c>
      <c r="S195" s="2">
        <v>341.50400000000002</v>
      </c>
    </row>
    <row r="196" spans="1:19" x14ac:dyDescent="0.3">
      <c r="A196" s="1" t="s">
        <v>19</v>
      </c>
      <c r="B196" s="1" t="s">
        <v>20</v>
      </c>
      <c r="C196" s="1" t="s">
        <v>21</v>
      </c>
      <c r="D196" s="1" t="s">
        <v>32</v>
      </c>
      <c r="E196" s="1" t="s">
        <v>33</v>
      </c>
      <c r="F196" s="1" t="s">
        <v>22</v>
      </c>
      <c r="G196" s="1" t="s">
        <v>23</v>
      </c>
      <c r="H196">
        <v>3150109</v>
      </c>
      <c r="I196" s="1" t="s">
        <v>34</v>
      </c>
      <c r="J196">
        <v>93</v>
      </c>
      <c r="K196">
        <v>93</v>
      </c>
      <c r="L196" s="1" t="s">
        <v>24</v>
      </c>
      <c r="M196" s="1" t="s">
        <v>35</v>
      </c>
      <c r="N196">
        <v>32.877468</v>
      </c>
      <c r="O196">
        <v>-85.901348999999996</v>
      </c>
      <c r="P196" s="1" t="s">
        <v>25</v>
      </c>
      <c r="Q196" s="1" t="s">
        <v>26</v>
      </c>
      <c r="R196" s="1" t="s">
        <v>36</v>
      </c>
      <c r="S196" s="2">
        <v>133.64099999999999</v>
      </c>
    </row>
    <row r="197" spans="1:19" x14ac:dyDescent="0.3">
      <c r="A197" s="1" t="s">
        <v>19</v>
      </c>
      <c r="B197" s="1" t="s">
        <v>20</v>
      </c>
      <c r="C197" s="1" t="s">
        <v>21</v>
      </c>
      <c r="D197" s="1" t="s">
        <v>37</v>
      </c>
      <c r="E197" s="1" t="s">
        <v>38</v>
      </c>
      <c r="F197" s="1" t="s">
        <v>22</v>
      </c>
      <c r="G197" s="1" t="s">
        <v>23</v>
      </c>
      <c r="H197">
        <v>3150109</v>
      </c>
      <c r="I197" s="1" t="s">
        <v>39</v>
      </c>
      <c r="J197">
        <v>91</v>
      </c>
      <c r="K197">
        <v>91</v>
      </c>
      <c r="L197" s="1" t="s">
        <v>24</v>
      </c>
      <c r="M197" s="1" t="s">
        <v>35</v>
      </c>
      <c r="N197">
        <v>32.686470999999997</v>
      </c>
      <c r="O197">
        <v>-85.910729000000003</v>
      </c>
      <c r="P197" s="1" t="s">
        <v>25</v>
      </c>
      <c r="Q197" s="1" t="s">
        <v>26</v>
      </c>
      <c r="R197" s="1" t="s">
        <v>36</v>
      </c>
      <c r="S197" s="2">
        <v>133.64099999999999</v>
      </c>
    </row>
    <row r="198" spans="1:19" x14ac:dyDescent="0.3">
      <c r="A198" s="1" t="s">
        <v>19</v>
      </c>
      <c r="B198" s="1" t="s">
        <v>20</v>
      </c>
      <c r="C198" s="1" t="s">
        <v>21</v>
      </c>
      <c r="D198" s="1" t="s">
        <v>55</v>
      </c>
      <c r="E198" s="1" t="s">
        <v>56</v>
      </c>
      <c r="F198" s="1" t="s">
        <v>22</v>
      </c>
      <c r="G198" s="1" t="s">
        <v>23</v>
      </c>
      <c r="H198">
        <v>3150109</v>
      </c>
      <c r="I198" s="1" t="s">
        <v>57</v>
      </c>
      <c r="J198">
        <v>91</v>
      </c>
      <c r="K198">
        <v>91</v>
      </c>
      <c r="L198" s="1" t="s">
        <v>24</v>
      </c>
      <c r="M198" s="1" t="s">
        <v>54</v>
      </c>
      <c r="N198">
        <v>32.734371000000003</v>
      </c>
      <c r="O198">
        <v>-85.887404000000004</v>
      </c>
      <c r="P198" s="1" t="s">
        <v>25</v>
      </c>
      <c r="Q198" s="1" t="s">
        <v>26</v>
      </c>
      <c r="R198" s="1" t="s">
        <v>36</v>
      </c>
      <c r="S198" s="2">
        <v>133.64099999999999</v>
      </c>
    </row>
    <row r="199" spans="1:19" x14ac:dyDescent="0.3">
      <c r="A199" s="1" t="s">
        <v>19</v>
      </c>
      <c r="B199" s="1" t="s">
        <v>20</v>
      </c>
      <c r="C199" s="1" t="s">
        <v>21</v>
      </c>
      <c r="D199" s="1" t="s">
        <v>58</v>
      </c>
      <c r="E199" s="1" t="s">
        <v>59</v>
      </c>
      <c r="F199" s="1" t="s">
        <v>22</v>
      </c>
      <c r="G199" s="1" t="s">
        <v>23</v>
      </c>
      <c r="H199">
        <v>3150109</v>
      </c>
      <c r="I199" s="1" t="s">
        <v>60</v>
      </c>
      <c r="J199">
        <v>91</v>
      </c>
      <c r="K199">
        <v>91</v>
      </c>
      <c r="L199" s="1" t="s">
        <v>24</v>
      </c>
      <c r="M199" s="1" t="s">
        <v>54</v>
      </c>
      <c r="N199">
        <v>32.742778000000001</v>
      </c>
      <c r="O199">
        <v>-85.964901999999995</v>
      </c>
      <c r="P199" s="1" t="s">
        <v>25</v>
      </c>
      <c r="Q199" s="1" t="s">
        <v>26</v>
      </c>
      <c r="R199" s="1" t="s">
        <v>36</v>
      </c>
      <c r="S199" s="2">
        <v>133.64099999999999</v>
      </c>
    </row>
    <row r="200" spans="1:19" x14ac:dyDescent="0.3">
      <c r="A200" s="1" t="s">
        <v>19</v>
      </c>
      <c r="B200" s="1" t="s">
        <v>692</v>
      </c>
      <c r="C200" s="1" t="s">
        <v>693</v>
      </c>
      <c r="D200" s="1" t="s">
        <v>1179</v>
      </c>
      <c r="E200" s="1" t="s">
        <v>1180</v>
      </c>
      <c r="F200" s="1" t="s">
        <v>22</v>
      </c>
      <c r="G200" s="1" t="s">
        <v>23</v>
      </c>
      <c r="H200">
        <v>10140101</v>
      </c>
      <c r="I200" s="1" t="s">
        <v>1181</v>
      </c>
      <c r="J200">
        <v>89</v>
      </c>
      <c r="K200">
        <v>89</v>
      </c>
      <c r="L200" s="1" t="s">
        <v>1182</v>
      </c>
      <c r="M200" s="1" t="s">
        <v>1183</v>
      </c>
      <c r="N200">
        <v>44.03933</v>
      </c>
      <c r="O200">
        <v>-99.448589999999996</v>
      </c>
      <c r="P200" s="1" t="s">
        <v>25</v>
      </c>
      <c r="Q200" s="1" t="s">
        <v>26</v>
      </c>
      <c r="R200" s="1" t="s">
        <v>1184</v>
      </c>
      <c r="S200" s="2">
        <v>234.22399999999999</v>
      </c>
    </row>
    <row r="201" spans="1:19" x14ac:dyDescent="0.3">
      <c r="A201" s="1" t="s">
        <v>19</v>
      </c>
      <c r="B201" s="1" t="s">
        <v>692</v>
      </c>
      <c r="C201" s="1" t="s">
        <v>693</v>
      </c>
      <c r="D201" s="1" t="s">
        <v>694</v>
      </c>
      <c r="E201" s="1" t="s">
        <v>695</v>
      </c>
      <c r="F201" s="1" t="s">
        <v>22</v>
      </c>
      <c r="G201" s="1" t="s">
        <v>23</v>
      </c>
      <c r="H201">
        <v>10040104</v>
      </c>
      <c r="I201" s="1" t="s">
        <v>696</v>
      </c>
      <c r="J201">
        <v>87</v>
      </c>
      <c r="K201">
        <v>87</v>
      </c>
      <c r="L201" s="1" t="s">
        <v>683</v>
      </c>
      <c r="M201" s="1" t="s">
        <v>333</v>
      </c>
      <c r="N201">
        <v>47.995330000000003</v>
      </c>
      <c r="O201">
        <v>-106.4239</v>
      </c>
      <c r="P201" s="1" t="s">
        <v>25</v>
      </c>
      <c r="Q201" s="1" t="s">
        <v>26</v>
      </c>
      <c r="R201" s="1" t="s">
        <v>697</v>
      </c>
      <c r="S201" s="2">
        <v>912.18100000000004</v>
      </c>
    </row>
    <row r="202" spans="1:19" x14ac:dyDescent="0.3">
      <c r="A202" s="1" t="s">
        <v>19</v>
      </c>
      <c r="B202" s="1" t="s">
        <v>692</v>
      </c>
      <c r="C202" s="1" t="s">
        <v>693</v>
      </c>
      <c r="D202" s="1" t="s">
        <v>1192</v>
      </c>
      <c r="E202" s="1" t="s">
        <v>1193</v>
      </c>
      <c r="F202" s="1" t="s">
        <v>22</v>
      </c>
      <c r="G202" s="1" t="s">
        <v>23</v>
      </c>
      <c r="H202">
        <v>10140101</v>
      </c>
      <c r="I202" s="1" t="s">
        <v>1194</v>
      </c>
      <c r="J202">
        <v>87</v>
      </c>
      <c r="K202">
        <v>87</v>
      </c>
      <c r="L202" s="1" t="s">
        <v>1182</v>
      </c>
      <c r="M202" s="1" t="s">
        <v>1195</v>
      </c>
      <c r="N202">
        <v>43.06908</v>
      </c>
      <c r="O202">
        <v>-98.558419999999998</v>
      </c>
      <c r="P202" s="1" t="s">
        <v>25</v>
      </c>
      <c r="Q202" s="1" t="s">
        <v>26</v>
      </c>
      <c r="R202" s="1" t="s">
        <v>1196</v>
      </c>
      <c r="S202" s="2">
        <v>331.62299999999999</v>
      </c>
    </row>
    <row r="203" spans="1:19" x14ac:dyDescent="0.3">
      <c r="A203" s="1" t="s">
        <v>19</v>
      </c>
      <c r="B203" s="1" t="s">
        <v>366</v>
      </c>
      <c r="C203" s="1" t="s">
        <v>367</v>
      </c>
      <c r="D203" s="1" t="s">
        <v>377</v>
      </c>
      <c r="E203" s="1" t="s">
        <v>378</v>
      </c>
      <c r="F203" s="1" t="s">
        <v>22</v>
      </c>
      <c r="G203" s="1" t="s">
        <v>23</v>
      </c>
      <c r="H203">
        <v>5130103</v>
      </c>
      <c r="I203" s="1" t="s">
        <v>379</v>
      </c>
      <c r="J203">
        <v>81</v>
      </c>
      <c r="K203">
        <v>87</v>
      </c>
      <c r="L203" s="1" t="s">
        <v>368</v>
      </c>
      <c r="M203" s="1" t="s">
        <v>372</v>
      </c>
      <c r="N203">
        <v>36.866779999999999</v>
      </c>
      <c r="O203">
        <v>-85.024249999999995</v>
      </c>
      <c r="P203" s="1" t="s">
        <v>25</v>
      </c>
      <c r="Q203" s="1" t="s">
        <v>26</v>
      </c>
      <c r="R203" s="1" t="s">
        <v>373</v>
      </c>
      <c r="S203" s="2">
        <v>132.78299999999999</v>
      </c>
    </row>
    <row r="204" spans="1:19" x14ac:dyDescent="0.3">
      <c r="A204" s="1" t="s">
        <v>19</v>
      </c>
      <c r="B204" s="1" t="s">
        <v>692</v>
      </c>
      <c r="C204" s="1" t="s">
        <v>693</v>
      </c>
      <c r="D204" s="1" t="s">
        <v>713</v>
      </c>
      <c r="E204" s="1" t="s">
        <v>714</v>
      </c>
      <c r="F204" s="1" t="s">
        <v>22</v>
      </c>
      <c r="G204" s="1" t="s">
        <v>23</v>
      </c>
      <c r="H204">
        <v>10170101</v>
      </c>
      <c r="I204" s="1" t="s">
        <v>715</v>
      </c>
      <c r="J204">
        <v>87</v>
      </c>
      <c r="K204">
        <v>87</v>
      </c>
      <c r="L204" s="1" t="s">
        <v>705</v>
      </c>
      <c r="M204" s="1" t="s">
        <v>716</v>
      </c>
      <c r="N204">
        <v>42.840780000000002</v>
      </c>
      <c r="O204">
        <v>-97.755449999999996</v>
      </c>
      <c r="P204" s="1" t="s">
        <v>25</v>
      </c>
      <c r="Q204" s="1" t="s">
        <v>26</v>
      </c>
      <c r="R204" s="1" t="s">
        <v>717</v>
      </c>
      <c r="S204" s="2">
        <v>122.18600000000001</v>
      </c>
    </row>
    <row r="205" spans="1:19" x14ac:dyDescent="0.3">
      <c r="A205" s="1" t="s">
        <v>19</v>
      </c>
      <c r="B205" s="1" t="s">
        <v>181</v>
      </c>
      <c r="C205" s="1" t="s">
        <v>182</v>
      </c>
      <c r="D205" s="1" t="s">
        <v>196</v>
      </c>
      <c r="E205" s="1" t="s">
        <v>197</v>
      </c>
      <c r="F205" s="1" t="s">
        <v>61</v>
      </c>
      <c r="G205" s="1" t="s">
        <v>23</v>
      </c>
      <c r="H205">
        <v>3090101</v>
      </c>
      <c r="I205" s="1" t="s">
        <v>198</v>
      </c>
      <c r="J205">
        <v>40</v>
      </c>
      <c r="K205">
        <v>87</v>
      </c>
      <c r="L205" s="1" t="s">
        <v>127</v>
      </c>
      <c r="M205" s="1" t="s">
        <v>145</v>
      </c>
      <c r="N205">
        <v>27.432595299999999</v>
      </c>
      <c r="O205">
        <v>-81.268504199999995</v>
      </c>
      <c r="P205" s="1" t="s">
        <v>25</v>
      </c>
      <c r="Q205" s="1" t="s">
        <v>26</v>
      </c>
      <c r="R205" s="1" t="s">
        <v>149</v>
      </c>
      <c r="S205" s="2">
        <v>110.76300000000001</v>
      </c>
    </row>
    <row r="206" spans="1:19" x14ac:dyDescent="0.3">
      <c r="A206" s="1" t="s">
        <v>19</v>
      </c>
      <c r="B206" s="1" t="s">
        <v>692</v>
      </c>
      <c r="C206" s="1" t="s">
        <v>693</v>
      </c>
      <c r="D206" s="1" t="s">
        <v>1216</v>
      </c>
      <c r="E206" s="1" t="s">
        <v>1217</v>
      </c>
      <c r="F206" s="1" t="s">
        <v>22</v>
      </c>
      <c r="G206" s="1" t="s">
        <v>23</v>
      </c>
      <c r="H206">
        <v>10130105</v>
      </c>
      <c r="I206" s="1" t="s">
        <v>1218</v>
      </c>
      <c r="J206">
        <v>86</v>
      </c>
      <c r="K206">
        <v>86</v>
      </c>
      <c r="L206" s="1" t="s">
        <v>1182</v>
      </c>
      <c r="M206" s="1" t="s">
        <v>1219</v>
      </c>
      <c r="N206">
        <v>44.462670000000003</v>
      </c>
      <c r="O206">
        <v>-100.4218</v>
      </c>
      <c r="P206" s="1" t="s">
        <v>25</v>
      </c>
      <c r="Q206" s="1" t="s">
        <v>26</v>
      </c>
      <c r="R206" s="1" t="s">
        <v>896</v>
      </c>
      <c r="S206" s="2">
        <v>1285.24</v>
      </c>
    </row>
    <row r="207" spans="1:19" x14ac:dyDescent="0.3">
      <c r="A207" s="1" t="s">
        <v>19</v>
      </c>
      <c r="B207" s="1" t="s">
        <v>1233</v>
      </c>
      <c r="C207" s="1" t="s">
        <v>1234</v>
      </c>
      <c r="D207" s="1" t="s">
        <v>1293</v>
      </c>
      <c r="E207" s="1" t="s">
        <v>1294</v>
      </c>
      <c r="F207" s="1" t="s">
        <v>22</v>
      </c>
      <c r="G207" s="1" t="s">
        <v>23</v>
      </c>
      <c r="H207">
        <v>12030108</v>
      </c>
      <c r="I207" s="1" t="s">
        <v>1295</v>
      </c>
      <c r="J207">
        <v>85</v>
      </c>
      <c r="K207">
        <v>85</v>
      </c>
      <c r="L207" s="1" t="s">
        <v>1232</v>
      </c>
      <c r="M207" s="1" t="s">
        <v>1292</v>
      </c>
      <c r="N207">
        <v>31.973600000000001</v>
      </c>
      <c r="O207">
        <v>-96.256100000000004</v>
      </c>
      <c r="P207" s="1" t="s">
        <v>25</v>
      </c>
      <c r="Q207" s="1" t="s">
        <v>1594</v>
      </c>
      <c r="R207" s="1" t="s">
        <v>1296</v>
      </c>
      <c r="S207" s="2">
        <v>169.14400000000001</v>
      </c>
    </row>
    <row r="208" spans="1:19" x14ac:dyDescent="0.3">
      <c r="A208" s="1" t="s">
        <v>19</v>
      </c>
      <c r="B208" s="1" t="s">
        <v>692</v>
      </c>
      <c r="C208" s="1" t="s">
        <v>693</v>
      </c>
      <c r="D208" s="1" t="s">
        <v>1208</v>
      </c>
      <c r="E208" s="1" t="s">
        <v>1209</v>
      </c>
      <c r="F208" s="1" t="s">
        <v>22</v>
      </c>
      <c r="G208" s="1" t="s">
        <v>23</v>
      </c>
      <c r="H208">
        <v>10170101</v>
      </c>
      <c r="I208" s="1" t="s">
        <v>1210</v>
      </c>
      <c r="J208">
        <v>85</v>
      </c>
      <c r="K208">
        <v>85</v>
      </c>
      <c r="L208" s="1" t="s">
        <v>1182</v>
      </c>
      <c r="M208" s="1" t="s">
        <v>1211</v>
      </c>
      <c r="N208">
        <v>42.86956</v>
      </c>
      <c r="O208">
        <v>-97.496480000000005</v>
      </c>
      <c r="P208" s="1" t="s">
        <v>25</v>
      </c>
      <c r="Q208" s="1" t="s">
        <v>26</v>
      </c>
      <c r="R208" s="1" t="s">
        <v>717</v>
      </c>
      <c r="S208" s="2">
        <v>122.18600000000001</v>
      </c>
    </row>
    <row r="209" spans="1:19" x14ac:dyDescent="0.3">
      <c r="A209" s="1" t="s">
        <v>19</v>
      </c>
      <c r="B209" s="1" t="s">
        <v>692</v>
      </c>
      <c r="C209" s="1" t="s">
        <v>693</v>
      </c>
      <c r="D209" s="1" t="s">
        <v>1212</v>
      </c>
      <c r="E209" s="1" t="s">
        <v>1213</v>
      </c>
      <c r="F209" s="1" t="s">
        <v>22</v>
      </c>
      <c r="G209" s="1" t="s">
        <v>23</v>
      </c>
      <c r="H209">
        <v>10170101</v>
      </c>
      <c r="I209" s="1" t="s">
        <v>1214</v>
      </c>
      <c r="J209">
        <v>83</v>
      </c>
      <c r="K209">
        <v>83</v>
      </c>
      <c r="L209" s="1" t="s">
        <v>1182</v>
      </c>
      <c r="M209" s="1" t="s">
        <v>1215</v>
      </c>
      <c r="N209">
        <v>42.850169999999999</v>
      </c>
      <c r="O209">
        <v>-97.642830000000004</v>
      </c>
      <c r="P209" s="1" t="s">
        <v>25</v>
      </c>
      <c r="Q209" s="1" t="s">
        <v>26</v>
      </c>
      <c r="R209" s="1" t="s">
        <v>717</v>
      </c>
      <c r="S209" s="2">
        <v>122.18600000000001</v>
      </c>
    </row>
    <row r="210" spans="1:19" x14ac:dyDescent="0.3">
      <c r="A210" s="1" t="s">
        <v>19</v>
      </c>
      <c r="B210" s="1" t="s">
        <v>20</v>
      </c>
      <c r="C210" s="1" t="s">
        <v>21</v>
      </c>
      <c r="D210" s="1" t="s">
        <v>46</v>
      </c>
      <c r="E210" s="1" t="s">
        <v>47</v>
      </c>
      <c r="F210" s="1" t="s">
        <v>22</v>
      </c>
      <c r="G210" s="1" t="s">
        <v>23</v>
      </c>
      <c r="H210">
        <v>3150105</v>
      </c>
      <c r="I210" s="1" t="s">
        <v>48</v>
      </c>
      <c r="J210">
        <v>83</v>
      </c>
      <c r="K210">
        <v>83</v>
      </c>
      <c r="L210" s="1" t="s">
        <v>24</v>
      </c>
      <c r="M210" s="1" t="s">
        <v>30</v>
      </c>
      <c r="N210">
        <v>34.134810000000002</v>
      </c>
      <c r="O210">
        <v>-85.791049999999998</v>
      </c>
      <c r="P210" s="1" t="s">
        <v>25</v>
      </c>
      <c r="Q210" s="1" t="s">
        <v>26</v>
      </c>
      <c r="R210" s="1" t="s">
        <v>31</v>
      </c>
      <c r="S210" s="2">
        <v>116.684</v>
      </c>
    </row>
    <row r="211" spans="1:19" x14ac:dyDescent="0.3">
      <c r="A211" s="1" t="s">
        <v>19</v>
      </c>
      <c r="B211" s="1" t="s">
        <v>692</v>
      </c>
      <c r="C211" s="1" t="s">
        <v>693</v>
      </c>
      <c r="D211" s="1" t="s">
        <v>877</v>
      </c>
      <c r="E211" s="1" t="s">
        <v>878</v>
      </c>
      <c r="F211" s="1" t="s">
        <v>22</v>
      </c>
      <c r="G211" s="1" t="s">
        <v>23</v>
      </c>
      <c r="H211">
        <v>10110101</v>
      </c>
      <c r="I211" s="1" t="s">
        <v>879</v>
      </c>
      <c r="J211">
        <v>81</v>
      </c>
      <c r="K211">
        <v>81</v>
      </c>
      <c r="L211" s="1" t="s">
        <v>816</v>
      </c>
      <c r="M211" s="1" t="s">
        <v>832</v>
      </c>
      <c r="N211">
        <v>47.507530000000003</v>
      </c>
      <c r="O211">
        <v>-101.42019999999999</v>
      </c>
      <c r="P211" s="1" t="s">
        <v>25</v>
      </c>
      <c r="Q211" s="1" t="s">
        <v>26</v>
      </c>
      <c r="R211" s="1" t="s">
        <v>824</v>
      </c>
      <c r="S211" s="2">
        <v>1214.02</v>
      </c>
    </row>
    <row r="212" spans="1:19" x14ac:dyDescent="0.3">
      <c r="A212" s="1" t="s">
        <v>19</v>
      </c>
      <c r="B212" s="1" t="s">
        <v>769</v>
      </c>
      <c r="C212" s="1" t="s">
        <v>770</v>
      </c>
      <c r="D212" s="1" t="s">
        <v>790</v>
      </c>
      <c r="E212" s="1" t="s">
        <v>791</v>
      </c>
      <c r="F212" s="1" t="s">
        <v>61</v>
      </c>
      <c r="G212" s="1" t="s">
        <v>23</v>
      </c>
      <c r="H212">
        <v>4150408</v>
      </c>
      <c r="I212" s="1" t="s">
        <v>792</v>
      </c>
      <c r="J212">
        <v>81</v>
      </c>
      <c r="K212">
        <v>81</v>
      </c>
      <c r="L212" s="1" t="s">
        <v>776</v>
      </c>
      <c r="M212" s="1" t="s">
        <v>786</v>
      </c>
      <c r="N212">
        <v>44.760800000000003</v>
      </c>
      <c r="O212">
        <v>-73.406700000000001</v>
      </c>
      <c r="P212" s="1" t="s">
        <v>396</v>
      </c>
      <c r="Q212" s="1" t="s">
        <v>26</v>
      </c>
      <c r="R212" s="1" t="s">
        <v>783</v>
      </c>
      <c r="S212" s="2">
        <v>1117.76</v>
      </c>
    </row>
    <row r="213" spans="1:19" x14ac:dyDescent="0.3">
      <c r="A213" s="1" t="s">
        <v>62</v>
      </c>
      <c r="B213" s="1" t="s">
        <v>718</v>
      </c>
      <c r="C213" s="1" t="s">
        <v>719</v>
      </c>
      <c r="D213" s="1" t="s">
        <v>726</v>
      </c>
      <c r="E213" s="1" t="s">
        <v>727</v>
      </c>
      <c r="F213" s="1" t="s">
        <v>23</v>
      </c>
      <c r="G213" s="1" t="s">
        <v>23</v>
      </c>
      <c r="H213">
        <v>15010005</v>
      </c>
      <c r="I213" s="1" t="s">
        <v>728</v>
      </c>
      <c r="J213">
        <v>81</v>
      </c>
      <c r="K213">
        <v>81</v>
      </c>
      <c r="L213" s="1" t="s">
        <v>723</v>
      </c>
      <c r="M213" s="1" t="s">
        <v>724</v>
      </c>
      <c r="N213">
        <v>36.116588100000001</v>
      </c>
      <c r="O213">
        <v>-114.848434</v>
      </c>
      <c r="P213" s="1" t="s">
        <v>25</v>
      </c>
      <c r="Q213" s="1" t="s">
        <v>26</v>
      </c>
      <c r="R213" s="1" t="s">
        <v>725</v>
      </c>
      <c r="S213" s="2">
        <v>595.22400000000005</v>
      </c>
    </row>
    <row r="214" spans="1:19" x14ac:dyDescent="0.3">
      <c r="A214" s="1" t="s">
        <v>19</v>
      </c>
      <c r="B214" s="1" t="s">
        <v>90</v>
      </c>
      <c r="C214" s="1" t="s">
        <v>91</v>
      </c>
      <c r="D214" s="1" t="s">
        <v>119</v>
      </c>
      <c r="E214" s="1" t="s">
        <v>120</v>
      </c>
      <c r="F214" s="1" t="s">
        <v>61</v>
      </c>
      <c r="G214" s="1" t="s">
        <v>23</v>
      </c>
      <c r="H214">
        <v>18020116</v>
      </c>
      <c r="I214" s="1" t="s">
        <v>121</v>
      </c>
      <c r="J214">
        <v>81</v>
      </c>
      <c r="K214">
        <v>81</v>
      </c>
      <c r="L214" s="1" t="s">
        <v>87</v>
      </c>
      <c r="M214" s="1" t="s">
        <v>88</v>
      </c>
      <c r="N214">
        <v>38.949820000000003</v>
      </c>
      <c r="O214">
        <v>-122.65940000000001</v>
      </c>
      <c r="P214" s="1" t="s">
        <v>25</v>
      </c>
      <c r="Q214" s="1" t="s">
        <v>26</v>
      </c>
      <c r="R214" s="1" t="s">
        <v>89</v>
      </c>
      <c r="S214" s="2">
        <v>159.102</v>
      </c>
    </row>
    <row r="215" spans="1:19" x14ac:dyDescent="0.3">
      <c r="A215" s="1" t="s">
        <v>19</v>
      </c>
      <c r="B215" s="1" t="s">
        <v>20</v>
      </c>
      <c r="C215" s="1" t="s">
        <v>21</v>
      </c>
      <c r="D215" s="1" t="s">
        <v>43</v>
      </c>
      <c r="E215" s="1" t="s">
        <v>44</v>
      </c>
      <c r="F215" s="1" t="s">
        <v>22</v>
      </c>
      <c r="G215" s="1" t="s">
        <v>23</v>
      </c>
      <c r="H215">
        <v>3150105</v>
      </c>
      <c r="I215" s="1" t="s">
        <v>45</v>
      </c>
      <c r="J215">
        <v>81</v>
      </c>
      <c r="K215">
        <v>81</v>
      </c>
      <c r="L215" s="1" t="s">
        <v>24</v>
      </c>
      <c r="M215" s="1" t="s">
        <v>30</v>
      </c>
      <c r="N215">
        <v>34.205742999999998</v>
      </c>
      <c r="O215">
        <v>-85.610495</v>
      </c>
      <c r="P215" s="1" t="s">
        <v>25</v>
      </c>
      <c r="Q215" s="1" t="s">
        <v>26</v>
      </c>
      <c r="R215" s="1" t="s">
        <v>31</v>
      </c>
      <c r="S215" s="2">
        <v>116.684</v>
      </c>
    </row>
    <row r="216" spans="1:19" x14ac:dyDescent="0.3">
      <c r="A216" s="1" t="s">
        <v>19</v>
      </c>
      <c r="B216" s="1" t="s">
        <v>181</v>
      </c>
      <c r="C216" s="1" t="s">
        <v>182</v>
      </c>
      <c r="D216" s="1" t="s">
        <v>202</v>
      </c>
      <c r="E216" s="1" t="s">
        <v>203</v>
      </c>
      <c r="F216" s="1" t="s">
        <v>61</v>
      </c>
      <c r="G216" s="1" t="s">
        <v>23</v>
      </c>
      <c r="H216">
        <v>3090101</v>
      </c>
      <c r="I216" s="1" t="s">
        <v>204</v>
      </c>
      <c r="J216">
        <v>38</v>
      </c>
      <c r="K216">
        <v>79</v>
      </c>
      <c r="L216" s="1" t="s">
        <v>127</v>
      </c>
      <c r="M216" s="1" t="s">
        <v>145</v>
      </c>
      <c r="N216">
        <v>27.398339400000001</v>
      </c>
      <c r="O216">
        <v>-81.279153100000002</v>
      </c>
      <c r="P216" s="1" t="s">
        <v>25</v>
      </c>
      <c r="Q216" s="1" t="s">
        <v>26</v>
      </c>
      <c r="R216" s="1" t="s">
        <v>149</v>
      </c>
      <c r="S216" s="2">
        <v>110.76300000000001</v>
      </c>
    </row>
    <row r="217" spans="1:19" x14ac:dyDescent="0.3">
      <c r="A217" s="1" t="s">
        <v>19</v>
      </c>
      <c r="B217" s="1" t="s">
        <v>181</v>
      </c>
      <c r="C217" s="1" t="s">
        <v>182</v>
      </c>
      <c r="D217" s="1" t="s">
        <v>199</v>
      </c>
      <c r="E217" s="1" t="s">
        <v>200</v>
      </c>
      <c r="F217" s="1" t="s">
        <v>61</v>
      </c>
      <c r="G217" s="1" t="s">
        <v>23</v>
      </c>
      <c r="H217">
        <v>3090101</v>
      </c>
      <c r="I217" s="1" t="s">
        <v>201</v>
      </c>
      <c r="J217">
        <v>38</v>
      </c>
      <c r="K217">
        <v>77</v>
      </c>
      <c r="L217" s="1" t="s">
        <v>127</v>
      </c>
      <c r="M217" s="1" t="s">
        <v>145</v>
      </c>
      <c r="N217">
        <v>27.382353599999998</v>
      </c>
      <c r="O217">
        <v>-81.243438299999994</v>
      </c>
      <c r="P217" s="1" t="s">
        <v>25</v>
      </c>
      <c r="Q217" s="1" t="s">
        <v>26</v>
      </c>
      <c r="R217" s="1" t="s">
        <v>149</v>
      </c>
      <c r="S217" s="2">
        <v>110.76300000000001</v>
      </c>
    </row>
    <row r="218" spans="1:19" x14ac:dyDescent="0.3">
      <c r="A218" s="1" t="s">
        <v>62</v>
      </c>
      <c r="B218" s="1" t="s">
        <v>380</v>
      </c>
      <c r="C218" s="1" t="s">
        <v>381</v>
      </c>
      <c r="D218" s="1" t="s">
        <v>392</v>
      </c>
      <c r="E218" s="1" t="s">
        <v>393</v>
      </c>
      <c r="F218" s="1" t="s">
        <v>23</v>
      </c>
      <c r="G218" s="1" t="s">
        <v>23</v>
      </c>
      <c r="H218">
        <v>8090202</v>
      </c>
      <c r="I218" s="1" t="s">
        <v>394</v>
      </c>
      <c r="J218">
        <v>76</v>
      </c>
      <c r="K218">
        <v>76</v>
      </c>
      <c r="L218" s="1" t="s">
        <v>385</v>
      </c>
      <c r="M218" s="1" t="s">
        <v>395</v>
      </c>
      <c r="N218">
        <v>30.257975099999999</v>
      </c>
      <c r="O218">
        <v>-90.112853999999999</v>
      </c>
      <c r="P218" s="1" t="s">
        <v>25</v>
      </c>
      <c r="Q218" s="1" t="s">
        <v>26</v>
      </c>
      <c r="R218" s="1" t="s">
        <v>387</v>
      </c>
      <c r="S218" s="2">
        <v>1639.9</v>
      </c>
    </row>
    <row r="219" spans="1:19" x14ac:dyDescent="0.3">
      <c r="A219" s="1" t="s">
        <v>62</v>
      </c>
      <c r="B219" s="1" t="s">
        <v>942</v>
      </c>
      <c r="C219" s="1" t="s">
        <v>943</v>
      </c>
      <c r="D219" s="1" t="s">
        <v>980</v>
      </c>
      <c r="E219" s="1" t="s">
        <v>981</v>
      </c>
      <c r="F219" s="1" t="s">
        <v>23</v>
      </c>
      <c r="G219" s="1" t="s">
        <v>23</v>
      </c>
      <c r="H219">
        <v>17120001</v>
      </c>
      <c r="I219" s="1" t="s">
        <v>982</v>
      </c>
      <c r="J219">
        <v>36</v>
      </c>
      <c r="K219">
        <v>76</v>
      </c>
      <c r="L219" s="1" t="s">
        <v>947</v>
      </c>
      <c r="M219" s="1" t="s">
        <v>983</v>
      </c>
      <c r="N219">
        <v>43.295944400000003</v>
      </c>
      <c r="O219">
        <v>-118.7729444</v>
      </c>
      <c r="P219" s="1" t="s">
        <v>25</v>
      </c>
      <c r="Q219" s="1" t="s">
        <v>26</v>
      </c>
      <c r="R219" s="1" t="s">
        <v>984</v>
      </c>
      <c r="S219" s="2">
        <v>275.04399999999998</v>
      </c>
    </row>
    <row r="220" spans="1:19" x14ac:dyDescent="0.3">
      <c r="A220" s="1" t="s">
        <v>19</v>
      </c>
      <c r="B220" s="1" t="s">
        <v>90</v>
      </c>
      <c r="C220" s="1" t="s">
        <v>91</v>
      </c>
      <c r="D220" s="1" t="s">
        <v>110</v>
      </c>
      <c r="E220" s="1" t="s">
        <v>111</v>
      </c>
      <c r="F220" s="1" t="s">
        <v>61</v>
      </c>
      <c r="G220" s="1" t="s">
        <v>23</v>
      </c>
      <c r="H220">
        <v>18020116</v>
      </c>
      <c r="I220" s="1" t="s">
        <v>112</v>
      </c>
      <c r="J220">
        <v>76</v>
      </c>
      <c r="K220">
        <v>76</v>
      </c>
      <c r="L220" s="1" t="s">
        <v>87</v>
      </c>
      <c r="M220" s="1" t="s">
        <v>88</v>
      </c>
      <c r="N220">
        <v>39.028700000000001</v>
      </c>
      <c r="O220">
        <v>-122.8486</v>
      </c>
      <c r="P220" s="1" t="s">
        <v>25</v>
      </c>
      <c r="Q220" s="1" t="s">
        <v>26</v>
      </c>
      <c r="R220" s="1" t="s">
        <v>89</v>
      </c>
      <c r="S220" s="2">
        <v>159.102</v>
      </c>
    </row>
    <row r="221" spans="1:19" x14ac:dyDescent="0.3">
      <c r="A221" s="1" t="s">
        <v>19</v>
      </c>
      <c r="B221" s="1" t="s">
        <v>1233</v>
      </c>
      <c r="C221" s="1" t="s">
        <v>1234</v>
      </c>
      <c r="D221" s="1" t="s">
        <v>1360</v>
      </c>
      <c r="E221" s="1" t="s">
        <v>1361</v>
      </c>
      <c r="F221" s="1" t="s">
        <v>22</v>
      </c>
      <c r="G221" s="1" t="s">
        <v>23</v>
      </c>
      <c r="H221">
        <v>11140302</v>
      </c>
      <c r="I221" s="1" t="s">
        <v>1362</v>
      </c>
      <c r="J221">
        <v>76</v>
      </c>
      <c r="K221">
        <v>76</v>
      </c>
      <c r="L221" s="1" t="s">
        <v>1232</v>
      </c>
      <c r="M221" s="1" t="s">
        <v>1332</v>
      </c>
      <c r="N221">
        <v>33.237900000000003</v>
      </c>
      <c r="O221">
        <v>-94.259600000000006</v>
      </c>
      <c r="P221" s="1" t="s">
        <v>25</v>
      </c>
      <c r="Q221" s="1" t="s">
        <v>26</v>
      </c>
      <c r="R221" s="1" t="s">
        <v>1246</v>
      </c>
      <c r="S221" s="2">
        <v>115.259</v>
      </c>
    </row>
    <row r="222" spans="1:19" x14ac:dyDescent="0.3">
      <c r="A222" s="1" t="s">
        <v>19</v>
      </c>
      <c r="B222" s="1" t="s">
        <v>90</v>
      </c>
      <c r="C222" s="1" t="s">
        <v>91</v>
      </c>
      <c r="D222" s="1" t="s">
        <v>107</v>
      </c>
      <c r="E222" s="1" t="s">
        <v>108</v>
      </c>
      <c r="F222" s="1" t="s">
        <v>61</v>
      </c>
      <c r="G222" s="1" t="s">
        <v>23</v>
      </c>
      <c r="H222">
        <v>18020116</v>
      </c>
      <c r="I222" s="1" t="s">
        <v>109</v>
      </c>
      <c r="J222">
        <v>75</v>
      </c>
      <c r="K222">
        <v>75</v>
      </c>
      <c r="L222" s="1" t="s">
        <v>87</v>
      </c>
      <c r="M222" s="1" t="s">
        <v>88</v>
      </c>
      <c r="N222">
        <v>39.011600000000001</v>
      </c>
      <c r="O222">
        <v>-122.679</v>
      </c>
      <c r="P222" s="1" t="s">
        <v>25</v>
      </c>
      <c r="Q222" s="1" t="s">
        <v>26</v>
      </c>
      <c r="R222" s="1" t="s">
        <v>89</v>
      </c>
      <c r="S222" s="2">
        <v>159.102</v>
      </c>
    </row>
    <row r="223" spans="1:19" x14ac:dyDescent="0.3">
      <c r="A223" s="1" t="s">
        <v>19</v>
      </c>
      <c r="B223" s="1" t="s">
        <v>1233</v>
      </c>
      <c r="C223" s="1" t="s">
        <v>1234</v>
      </c>
      <c r="D223" s="1" t="s">
        <v>1389</v>
      </c>
      <c r="E223" s="1" t="s">
        <v>1390</v>
      </c>
      <c r="F223" s="1" t="s">
        <v>22</v>
      </c>
      <c r="G223" s="1" t="s">
        <v>23</v>
      </c>
      <c r="H223">
        <v>12030107</v>
      </c>
      <c r="I223" s="1" t="s">
        <v>1391</v>
      </c>
      <c r="J223">
        <v>75</v>
      </c>
      <c r="K223">
        <v>75</v>
      </c>
      <c r="L223" s="1" t="s">
        <v>1232</v>
      </c>
      <c r="M223" s="1" t="s">
        <v>1347</v>
      </c>
      <c r="N223">
        <v>32.289200000000001</v>
      </c>
      <c r="O223">
        <v>-96.152699999999996</v>
      </c>
      <c r="P223" s="1" t="s">
        <v>25</v>
      </c>
      <c r="Q223" s="1" t="s">
        <v>1594</v>
      </c>
      <c r="R223" s="1" t="s">
        <v>1366</v>
      </c>
      <c r="S223" s="2">
        <v>127.657</v>
      </c>
    </row>
    <row r="224" spans="1:19" x14ac:dyDescent="0.3">
      <c r="A224" s="1" t="s">
        <v>19</v>
      </c>
      <c r="B224" s="1" t="s">
        <v>1233</v>
      </c>
      <c r="C224" s="1" t="s">
        <v>1234</v>
      </c>
      <c r="D224" s="1" t="s">
        <v>1380</v>
      </c>
      <c r="E224" s="1" t="s">
        <v>1381</v>
      </c>
      <c r="F224" s="1" t="s">
        <v>22</v>
      </c>
      <c r="G224" s="1" t="s">
        <v>23</v>
      </c>
      <c r="H224">
        <v>11140302</v>
      </c>
      <c r="I224" s="1" t="s">
        <v>1382</v>
      </c>
      <c r="J224">
        <v>75</v>
      </c>
      <c r="K224">
        <v>75</v>
      </c>
      <c r="L224" s="1" t="s">
        <v>1232</v>
      </c>
      <c r="M224" s="1" t="s">
        <v>1332</v>
      </c>
      <c r="N224">
        <v>33.326900000000002</v>
      </c>
      <c r="O224">
        <v>-94.212500000000006</v>
      </c>
      <c r="P224" s="1" t="s">
        <v>25</v>
      </c>
      <c r="Q224" s="1" t="s">
        <v>26</v>
      </c>
      <c r="R224" s="1" t="s">
        <v>1246</v>
      </c>
      <c r="S224" s="2">
        <v>115.259</v>
      </c>
    </row>
    <row r="225" spans="1:19" x14ac:dyDescent="0.3">
      <c r="A225" s="1" t="s">
        <v>19</v>
      </c>
      <c r="B225" s="1" t="s">
        <v>141</v>
      </c>
      <c r="C225" s="1" t="s">
        <v>142</v>
      </c>
      <c r="D225" s="1" t="s">
        <v>146</v>
      </c>
      <c r="E225" s="1" t="s">
        <v>147</v>
      </c>
      <c r="F225" s="1" t="s">
        <v>61</v>
      </c>
      <c r="G225" s="1" t="s">
        <v>23</v>
      </c>
      <c r="H225">
        <v>3090101</v>
      </c>
      <c r="I225" s="1" t="s">
        <v>148</v>
      </c>
      <c r="J225">
        <v>75</v>
      </c>
      <c r="K225">
        <v>75</v>
      </c>
      <c r="L225" s="1" t="s">
        <v>127</v>
      </c>
      <c r="M225" s="1" t="s">
        <v>145</v>
      </c>
      <c r="N225">
        <v>27.342816599999999</v>
      </c>
      <c r="O225">
        <v>-81.307299999999998</v>
      </c>
      <c r="P225" s="1" t="s">
        <v>25</v>
      </c>
      <c r="Q225" s="1" t="s">
        <v>26</v>
      </c>
      <c r="R225" s="1" t="s">
        <v>149</v>
      </c>
      <c r="S225" s="2">
        <v>110.76300000000001</v>
      </c>
    </row>
    <row r="226" spans="1:19" x14ac:dyDescent="0.3">
      <c r="A226" s="1" t="s">
        <v>19</v>
      </c>
      <c r="B226" s="1" t="s">
        <v>141</v>
      </c>
      <c r="C226" s="1" t="s">
        <v>142</v>
      </c>
      <c r="D226" s="1" t="s">
        <v>150</v>
      </c>
      <c r="E226" s="1" t="s">
        <v>151</v>
      </c>
      <c r="F226" s="1" t="s">
        <v>61</v>
      </c>
      <c r="G226" s="1" t="s">
        <v>23</v>
      </c>
      <c r="H226">
        <v>3090101</v>
      </c>
      <c r="I226" s="1" t="s">
        <v>152</v>
      </c>
      <c r="J226">
        <v>75</v>
      </c>
      <c r="K226">
        <v>75</v>
      </c>
      <c r="L226" s="1" t="s">
        <v>127</v>
      </c>
      <c r="M226" s="1" t="s">
        <v>145</v>
      </c>
      <c r="N226">
        <v>27.3401833</v>
      </c>
      <c r="O226">
        <v>-81.269983300000007</v>
      </c>
      <c r="P226" s="1" t="s">
        <v>25</v>
      </c>
      <c r="Q226" s="1" t="s">
        <v>26</v>
      </c>
      <c r="R226" s="1" t="s">
        <v>149</v>
      </c>
      <c r="S226" s="2">
        <v>110.76300000000001</v>
      </c>
    </row>
    <row r="227" spans="1:19" x14ac:dyDescent="0.3">
      <c r="A227" s="1" t="s">
        <v>19</v>
      </c>
      <c r="B227" s="1" t="s">
        <v>141</v>
      </c>
      <c r="C227" s="1" t="s">
        <v>142</v>
      </c>
      <c r="D227" s="1" t="s">
        <v>153</v>
      </c>
      <c r="E227" s="1" t="s">
        <v>154</v>
      </c>
      <c r="F227" s="1" t="s">
        <v>61</v>
      </c>
      <c r="G227" s="1" t="s">
        <v>23</v>
      </c>
      <c r="H227">
        <v>3090101</v>
      </c>
      <c r="I227" s="1" t="s">
        <v>155</v>
      </c>
      <c r="J227">
        <v>75</v>
      </c>
      <c r="K227">
        <v>75</v>
      </c>
      <c r="L227" s="1" t="s">
        <v>127</v>
      </c>
      <c r="M227" s="1" t="s">
        <v>145</v>
      </c>
      <c r="N227">
        <v>27.3142</v>
      </c>
      <c r="O227">
        <v>-81.297666599999999</v>
      </c>
      <c r="P227" s="1" t="s">
        <v>25</v>
      </c>
      <c r="Q227" s="1" t="s">
        <v>26</v>
      </c>
      <c r="R227" s="1" t="s">
        <v>149</v>
      </c>
      <c r="S227" s="2">
        <v>110.76300000000001</v>
      </c>
    </row>
    <row r="228" spans="1:19" x14ac:dyDescent="0.3">
      <c r="A228" s="1" t="s">
        <v>19</v>
      </c>
      <c r="B228" s="1" t="s">
        <v>141</v>
      </c>
      <c r="C228" s="1" t="s">
        <v>142</v>
      </c>
      <c r="D228" s="1" t="s">
        <v>156</v>
      </c>
      <c r="E228" s="1" t="s">
        <v>157</v>
      </c>
      <c r="F228" s="1" t="s">
        <v>61</v>
      </c>
      <c r="G228" s="1" t="s">
        <v>23</v>
      </c>
      <c r="H228">
        <v>3090101</v>
      </c>
      <c r="I228" s="1" t="s">
        <v>158</v>
      </c>
      <c r="J228">
        <v>75</v>
      </c>
      <c r="K228">
        <v>75</v>
      </c>
      <c r="L228" s="1" t="s">
        <v>127</v>
      </c>
      <c r="M228" s="1" t="s">
        <v>145</v>
      </c>
      <c r="N228">
        <v>27.401</v>
      </c>
      <c r="O228">
        <v>-81.333166599999998</v>
      </c>
      <c r="P228" s="1" t="s">
        <v>25</v>
      </c>
      <c r="Q228" s="1" t="s">
        <v>26</v>
      </c>
      <c r="R228" s="1" t="s">
        <v>149</v>
      </c>
      <c r="S228" s="2">
        <v>110.76300000000001</v>
      </c>
    </row>
    <row r="229" spans="1:19" x14ac:dyDescent="0.3">
      <c r="A229" s="1" t="s">
        <v>19</v>
      </c>
      <c r="B229" s="1" t="s">
        <v>141</v>
      </c>
      <c r="C229" s="1" t="s">
        <v>142</v>
      </c>
      <c r="D229" s="1" t="s">
        <v>159</v>
      </c>
      <c r="E229" s="1" t="s">
        <v>160</v>
      </c>
      <c r="F229" s="1" t="s">
        <v>61</v>
      </c>
      <c r="G229" s="1" t="s">
        <v>23</v>
      </c>
      <c r="H229">
        <v>3090101</v>
      </c>
      <c r="I229" s="1" t="s">
        <v>161</v>
      </c>
      <c r="J229">
        <v>75</v>
      </c>
      <c r="K229">
        <v>75</v>
      </c>
      <c r="L229" s="1" t="s">
        <v>127</v>
      </c>
      <c r="M229" s="1" t="s">
        <v>145</v>
      </c>
      <c r="N229">
        <v>27.417333299999999</v>
      </c>
      <c r="O229">
        <v>-81.310833299999999</v>
      </c>
      <c r="P229" s="1" t="s">
        <v>25</v>
      </c>
      <c r="Q229" s="1" t="s">
        <v>26</v>
      </c>
      <c r="R229" s="1" t="s">
        <v>149</v>
      </c>
      <c r="S229" s="2">
        <v>110.76300000000001</v>
      </c>
    </row>
    <row r="230" spans="1:19" x14ac:dyDescent="0.3">
      <c r="A230" s="1" t="s">
        <v>19</v>
      </c>
      <c r="B230" s="1" t="s">
        <v>141</v>
      </c>
      <c r="C230" s="1" t="s">
        <v>142</v>
      </c>
      <c r="D230" s="1" t="s">
        <v>162</v>
      </c>
      <c r="E230" s="1" t="s">
        <v>163</v>
      </c>
      <c r="F230" s="1" t="s">
        <v>61</v>
      </c>
      <c r="G230" s="1" t="s">
        <v>23</v>
      </c>
      <c r="H230">
        <v>3090101</v>
      </c>
      <c r="I230" s="1" t="s">
        <v>164</v>
      </c>
      <c r="J230">
        <v>75</v>
      </c>
      <c r="K230">
        <v>75</v>
      </c>
      <c r="L230" s="1" t="s">
        <v>127</v>
      </c>
      <c r="M230" s="1" t="s">
        <v>145</v>
      </c>
      <c r="N230">
        <v>27.420999999999999</v>
      </c>
      <c r="O230">
        <v>-81.284999999999997</v>
      </c>
      <c r="P230" s="1" t="s">
        <v>25</v>
      </c>
      <c r="Q230" s="1" t="s">
        <v>26</v>
      </c>
      <c r="R230" s="1" t="s">
        <v>149</v>
      </c>
      <c r="S230" s="2">
        <v>110.76300000000001</v>
      </c>
    </row>
    <row r="231" spans="1:19" x14ac:dyDescent="0.3">
      <c r="A231" s="1" t="s">
        <v>19</v>
      </c>
      <c r="B231" s="1" t="s">
        <v>476</v>
      </c>
      <c r="C231" s="1" t="s">
        <v>477</v>
      </c>
      <c r="D231" s="1" t="s">
        <v>509</v>
      </c>
      <c r="E231" s="1" t="s">
        <v>510</v>
      </c>
      <c r="F231" s="1" t="s">
        <v>480</v>
      </c>
      <c r="G231" s="1" t="s">
        <v>23</v>
      </c>
      <c r="H231">
        <v>0</v>
      </c>
      <c r="I231" s="1" t="s">
        <v>511</v>
      </c>
      <c r="J231">
        <v>74</v>
      </c>
      <c r="K231">
        <v>74</v>
      </c>
      <c r="L231" s="1" t="s">
        <v>402</v>
      </c>
      <c r="M231" s="1" t="s">
        <v>502</v>
      </c>
      <c r="N231">
        <v>45.250233299999998</v>
      </c>
      <c r="O231">
        <v>-83.088393499999995</v>
      </c>
      <c r="P231" s="1" t="s">
        <v>396</v>
      </c>
      <c r="Q231" s="1" t="s">
        <v>26</v>
      </c>
      <c r="R231" s="1" t="s">
        <v>483</v>
      </c>
      <c r="S231" s="2">
        <v>42496.7</v>
      </c>
    </row>
    <row r="232" spans="1:19" x14ac:dyDescent="0.3">
      <c r="A232" s="1" t="s">
        <v>19</v>
      </c>
      <c r="B232" s="1" t="s">
        <v>1123</v>
      </c>
      <c r="C232" s="1" t="s">
        <v>1045</v>
      </c>
      <c r="D232" s="1" t="s">
        <v>1147</v>
      </c>
      <c r="E232" s="1" t="s">
        <v>1148</v>
      </c>
      <c r="F232" s="1" t="s">
        <v>61</v>
      </c>
      <c r="G232" s="1" t="s">
        <v>23</v>
      </c>
      <c r="H232">
        <v>3050111</v>
      </c>
      <c r="I232" s="1" t="s">
        <v>1149</v>
      </c>
      <c r="J232">
        <v>74</v>
      </c>
      <c r="K232">
        <v>74</v>
      </c>
      <c r="L232" s="1" t="s">
        <v>1043</v>
      </c>
      <c r="M232" s="1" t="s">
        <v>1056</v>
      </c>
      <c r="N232">
        <v>33.452530000000003</v>
      </c>
      <c r="O232">
        <v>-80.18947</v>
      </c>
      <c r="P232" s="1" t="s">
        <v>25</v>
      </c>
      <c r="Q232" s="1" t="s">
        <v>26</v>
      </c>
      <c r="R232" s="1" t="s">
        <v>180</v>
      </c>
      <c r="S232" s="2">
        <v>324.315</v>
      </c>
    </row>
    <row r="233" spans="1:19" x14ac:dyDescent="0.3">
      <c r="A233" s="1" t="s">
        <v>19</v>
      </c>
      <c r="B233" s="1" t="s">
        <v>1123</v>
      </c>
      <c r="C233" s="1" t="s">
        <v>1045</v>
      </c>
      <c r="D233" s="1" t="s">
        <v>1150</v>
      </c>
      <c r="E233" s="1" t="s">
        <v>1151</v>
      </c>
      <c r="F233" s="1" t="s">
        <v>61</v>
      </c>
      <c r="G233" s="1" t="s">
        <v>23</v>
      </c>
      <c r="H233">
        <v>3050111</v>
      </c>
      <c r="I233" s="1" t="s">
        <v>1152</v>
      </c>
      <c r="J233">
        <v>74</v>
      </c>
      <c r="K233">
        <v>74</v>
      </c>
      <c r="L233" s="1" t="s">
        <v>1043</v>
      </c>
      <c r="M233" s="1" t="s">
        <v>1056</v>
      </c>
      <c r="N233">
        <v>33.537730000000003</v>
      </c>
      <c r="O233">
        <v>-80.221369999999993</v>
      </c>
      <c r="P233" s="1" t="s">
        <v>25</v>
      </c>
      <c r="Q233" s="1" t="s">
        <v>26</v>
      </c>
      <c r="R233" s="1" t="s">
        <v>180</v>
      </c>
      <c r="S233" s="2">
        <v>324.315</v>
      </c>
    </row>
    <row r="234" spans="1:19" x14ac:dyDescent="0.3">
      <c r="A234" s="1" t="s">
        <v>19</v>
      </c>
      <c r="B234" s="1" t="s">
        <v>289</v>
      </c>
      <c r="C234" s="1" t="s">
        <v>290</v>
      </c>
      <c r="D234" s="1" t="s">
        <v>301</v>
      </c>
      <c r="E234" s="1" t="s">
        <v>302</v>
      </c>
      <c r="F234" s="1" t="s">
        <v>61</v>
      </c>
      <c r="G234" s="1" t="s">
        <v>23</v>
      </c>
      <c r="H234">
        <v>3080101</v>
      </c>
      <c r="I234" s="1" t="s">
        <v>303</v>
      </c>
      <c r="J234">
        <v>37</v>
      </c>
      <c r="K234">
        <v>74</v>
      </c>
      <c r="L234" s="1" t="s">
        <v>127</v>
      </c>
      <c r="M234" s="1" t="s">
        <v>172</v>
      </c>
      <c r="N234">
        <v>29.31</v>
      </c>
      <c r="O234">
        <v>-81.570832999999993</v>
      </c>
      <c r="P234" s="1" t="s">
        <v>25</v>
      </c>
      <c r="Q234" s="1" t="s">
        <v>26</v>
      </c>
      <c r="R234" s="1" t="s">
        <v>173</v>
      </c>
      <c r="S234" s="2">
        <v>214.29</v>
      </c>
    </row>
    <row r="235" spans="1:19" x14ac:dyDescent="0.3">
      <c r="A235" s="1" t="s">
        <v>19</v>
      </c>
      <c r="B235" s="1" t="s">
        <v>289</v>
      </c>
      <c r="C235" s="1" t="s">
        <v>290</v>
      </c>
      <c r="D235" s="1" t="s">
        <v>304</v>
      </c>
      <c r="E235" s="1" t="s">
        <v>305</v>
      </c>
      <c r="F235" s="1" t="s">
        <v>61</v>
      </c>
      <c r="G235" s="1" t="s">
        <v>23</v>
      </c>
      <c r="H235">
        <v>3080101</v>
      </c>
      <c r="I235" s="1" t="s">
        <v>306</v>
      </c>
      <c r="J235">
        <v>37</v>
      </c>
      <c r="K235">
        <v>74</v>
      </c>
      <c r="L235" s="1" t="s">
        <v>127</v>
      </c>
      <c r="M235" s="1" t="s">
        <v>172</v>
      </c>
      <c r="N235">
        <v>29.278888800000001</v>
      </c>
      <c r="O235">
        <v>-81.633054999999999</v>
      </c>
      <c r="P235" s="1" t="s">
        <v>25</v>
      </c>
      <c r="Q235" s="1" t="s">
        <v>26</v>
      </c>
      <c r="R235" s="1" t="s">
        <v>173</v>
      </c>
      <c r="S235" s="2">
        <v>214.29</v>
      </c>
    </row>
    <row r="236" spans="1:19" x14ac:dyDescent="0.3">
      <c r="A236" s="1" t="s">
        <v>19</v>
      </c>
      <c r="B236" s="1" t="s">
        <v>692</v>
      </c>
      <c r="C236" s="1" t="s">
        <v>693</v>
      </c>
      <c r="D236" s="1" t="s">
        <v>886</v>
      </c>
      <c r="E236" s="1" t="s">
        <v>887</v>
      </c>
      <c r="F236" s="1" t="s">
        <v>22</v>
      </c>
      <c r="G236" s="1" t="s">
        <v>23</v>
      </c>
      <c r="H236">
        <v>10110101</v>
      </c>
      <c r="I236" s="1" t="s">
        <v>888</v>
      </c>
      <c r="J236">
        <v>73</v>
      </c>
      <c r="K236">
        <v>73</v>
      </c>
      <c r="L236" s="1" t="s">
        <v>816</v>
      </c>
      <c r="M236" s="1" t="s">
        <v>841</v>
      </c>
      <c r="N236">
        <v>47.977640000000001</v>
      </c>
      <c r="O236">
        <v>-102.5637</v>
      </c>
      <c r="P236" s="1" t="s">
        <v>25</v>
      </c>
      <c r="Q236" s="1" t="s">
        <v>26</v>
      </c>
      <c r="R236" s="1" t="s">
        <v>824</v>
      </c>
      <c r="S236" s="2">
        <v>1214.02</v>
      </c>
    </row>
    <row r="237" spans="1:19" x14ac:dyDescent="0.3">
      <c r="A237" s="1" t="s">
        <v>62</v>
      </c>
      <c r="B237" s="1" t="s">
        <v>718</v>
      </c>
      <c r="C237" s="1" t="s">
        <v>719</v>
      </c>
      <c r="D237" s="1" t="s">
        <v>720</v>
      </c>
      <c r="E237" s="1" t="s">
        <v>721</v>
      </c>
      <c r="F237" s="1" t="s">
        <v>23</v>
      </c>
      <c r="G237" s="1" t="s">
        <v>23</v>
      </c>
      <c r="H237">
        <v>15010005</v>
      </c>
      <c r="I237" s="1" t="s">
        <v>722</v>
      </c>
      <c r="J237">
        <v>73</v>
      </c>
      <c r="K237">
        <v>73</v>
      </c>
      <c r="L237" s="1" t="s">
        <v>723</v>
      </c>
      <c r="M237" s="1" t="s">
        <v>724</v>
      </c>
      <c r="N237">
        <v>36.053868700000002</v>
      </c>
      <c r="O237">
        <v>-114.7522062</v>
      </c>
      <c r="P237" s="1" t="s">
        <v>25</v>
      </c>
      <c r="Q237" s="1" t="s">
        <v>26</v>
      </c>
      <c r="R237" s="1" t="s">
        <v>725</v>
      </c>
      <c r="S237" s="2">
        <v>595.22400000000005</v>
      </c>
    </row>
    <row r="238" spans="1:19" x14ac:dyDescent="0.3">
      <c r="A238" s="1" t="s">
        <v>19</v>
      </c>
      <c r="B238" s="1" t="s">
        <v>842</v>
      </c>
      <c r="C238" s="1" t="s">
        <v>843</v>
      </c>
      <c r="D238" s="1" t="s">
        <v>871</v>
      </c>
      <c r="E238" s="1" t="s">
        <v>872</v>
      </c>
      <c r="F238" s="1" t="s">
        <v>61</v>
      </c>
      <c r="G238" s="1" t="s">
        <v>23</v>
      </c>
      <c r="H238">
        <v>9020201</v>
      </c>
      <c r="I238" s="1" t="s">
        <v>873</v>
      </c>
      <c r="J238">
        <v>72</v>
      </c>
      <c r="K238">
        <v>73</v>
      </c>
      <c r="L238" s="1" t="s">
        <v>816</v>
      </c>
      <c r="M238" s="1" t="s">
        <v>856</v>
      </c>
      <c r="N238">
        <v>48.04898</v>
      </c>
      <c r="O238">
        <v>-99.212350000000001</v>
      </c>
      <c r="P238" s="1" t="s">
        <v>25</v>
      </c>
      <c r="Q238" s="1" t="s">
        <v>26</v>
      </c>
      <c r="R238" s="1" t="s">
        <v>434</v>
      </c>
      <c r="S238" s="2">
        <v>359.2</v>
      </c>
    </row>
    <row r="239" spans="1:19" x14ac:dyDescent="0.3">
      <c r="A239" s="1" t="s">
        <v>19</v>
      </c>
      <c r="B239" s="1" t="s">
        <v>1044</v>
      </c>
      <c r="C239" s="1" t="s">
        <v>1045</v>
      </c>
      <c r="D239" s="1" t="s">
        <v>1080</v>
      </c>
      <c r="E239" s="1" t="s">
        <v>1081</v>
      </c>
      <c r="F239" s="1" t="s">
        <v>22</v>
      </c>
      <c r="G239" s="1" t="s">
        <v>23</v>
      </c>
      <c r="H239">
        <v>3050201</v>
      </c>
      <c r="I239" s="1" t="s">
        <v>1082</v>
      </c>
      <c r="J239">
        <v>73</v>
      </c>
      <c r="K239">
        <v>73</v>
      </c>
      <c r="L239" s="1" t="s">
        <v>1043</v>
      </c>
      <c r="M239" s="1" t="s">
        <v>1076</v>
      </c>
      <c r="N239">
        <v>33.325833299999999</v>
      </c>
      <c r="O239">
        <v>-80.133336099999994</v>
      </c>
      <c r="P239" s="1" t="s">
        <v>25</v>
      </c>
      <c r="Q239" s="1" t="s">
        <v>26</v>
      </c>
      <c r="R239" s="1" t="s">
        <v>1083</v>
      </c>
      <c r="S239" s="2">
        <v>233.22800000000001</v>
      </c>
    </row>
    <row r="240" spans="1:19" x14ac:dyDescent="0.3">
      <c r="A240" s="1" t="s">
        <v>19</v>
      </c>
      <c r="B240" s="1" t="s">
        <v>1044</v>
      </c>
      <c r="C240" s="1" t="s">
        <v>1045</v>
      </c>
      <c r="D240" s="1" t="s">
        <v>1090</v>
      </c>
      <c r="E240" s="1" t="s">
        <v>1091</v>
      </c>
      <c r="F240" s="1" t="s">
        <v>22</v>
      </c>
      <c r="G240" s="1" t="s">
        <v>23</v>
      </c>
      <c r="H240">
        <v>3050201</v>
      </c>
      <c r="I240" s="1" t="s">
        <v>1092</v>
      </c>
      <c r="J240">
        <v>73</v>
      </c>
      <c r="K240">
        <v>73</v>
      </c>
      <c r="L240" s="1" t="s">
        <v>1043</v>
      </c>
      <c r="M240" s="1" t="s">
        <v>1076</v>
      </c>
      <c r="N240">
        <v>33.374166700000004</v>
      </c>
      <c r="O240">
        <v>-80.006666699999997</v>
      </c>
      <c r="P240" s="1" t="s">
        <v>25</v>
      </c>
      <c r="Q240" s="1" t="s">
        <v>26</v>
      </c>
      <c r="R240" s="1" t="s">
        <v>1083</v>
      </c>
      <c r="S240" s="2">
        <v>233.22800000000001</v>
      </c>
    </row>
    <row r="241" spans="1:19" x14ac:dyDescent="0.3">
      <c r="A241" s="1" t="s">
        <v>19</v>
      </c>
      <c r="B241" s="1" t="s">
        <v>1044</v>
      </c>
      <c r="C241" s="1" t="s">
        <v>1045</v>
      </c>
      <c r="D241" s="1" t="s">
        <v>1093</v>
      </c>
      <c r="E241" s="1" t="s">
        <v>1094</v>
      </c>
      <c r="F241" s="1" t="s">
        <v>22</v>
      </c>
      <c r="G241" s="1" t="s">
        <v>23</v>
      </c>
      <c r="H241">
        <v>3050201</v>
      </c>
      <c r="I241" s="1" t="s">
        <v>1095</v>
      </c>
      <c r="J241">
        <v>73</v>
      </c>
      <c r="K241">
        <v>73</v>
      </c>
      <c r="L241" s="1" t="s">
        <v>1043</v>
      </c>
      <c r="M241" s="1" t="s">
        <v>1076</v>
      </c>
      <c r="N241">
        <v>33.249166700000004</v>
      </c>
      <c r="O241">
        <v>-79.996666700000006</v>
      </c>
      <c r="P241" s="1" t="s">
        <v>25</v>
      </c>
      <c r="Q241" s="1" t="s">
        <v>26</v>
      </c>
      <c r="R241" s="1" t="s">
        <v>1083</v>
      </c>
      <c r="S241" s="2">
        <v>233.22800000000001</v>
      </c>
    </row>
    <row r="242" spans="1:19" x14ac:dyDescent="0.3">
      <c r="A242" s="1" t="s">
        <v>19</v>
      </c>
      <c r="B242" s="1" t="s">
        <v>20</v>
      </c>
      <c r="C242" s="1" t="s">
        <v>21</v>
      </c>
      <c r="D242" s="1" t="s">
        <v>27</v>
      </c>
      <c r="E242" s="1" t="s">
        <v>28</v>
      </c>
      <c r="F242" s="1" t="s">
        <v>22</v>
      </c>
      <c r="G242" s="1" t="s">
        <v>23</v>
      </c>
      <c r="H242">
        <v>3150105</v>
      </c>
      <c r="I242" s="1" t="s">
        <v>29</v>
      </c>
      <c r="J242">
        <v>73</v>
      </c>
      <c r="K242">
        <v>73</v>
      </c>
      <c r="L242" s="1" t="s">
        <v>24</v>
      </c>
      <c r="M242" s="1" t="s">
        <v>30</v>
      </c>
      <c r="N242">
        <v>34.210317000000003</v>
      </c>
      <c r="O242">
        <v>-85.546800000000005</v>
      </c>
      <c r="P242" s="1" t="s">
        <v>25</v>
      </c>
      <c r="Q242" s="1" t="s">
        <v>26</v>
      </c>
      <c r="R242" s="1" t="s">
        <v>31</v>
      </c>
      <c r="S242" s="2">
        <v>116.684</v>
      </c>
    </row>
    <row r="243" spans="1:19" x14ac:dyDescent="0.3">
      <c r="A243" s="1" t="s">
        <v>19</v>
      </c>
      <c r="B243" s="1" t="s">
        <v>692</v>
      </c>
      <c r="C243" s="1" t="s">
        <v>693</v>
      </c>
      <c r="D243" s="1" t="s">
        <v>1228</v>
      </c>
      <c r="E243" s="1" t="s">
        <v>1229</v>
      </c>
      <c r="F243" s="1" t="s">
        <v>22</v>
      </c>
      <c r="G243" s="1" t="s">
        <v>23</v>
      </c>
      <c r="H243">
        <v>10130102</v>
      </c>
      <c r="I243" s="1" t="s">
        <v>1230</v>
      </c>
      <c r="J243">
        <v>72</v>
      </c>
      <c r="K243">
        <v>72</v>
      </c>
      <c r="L243" s="1" t="s">
        <v>1182</v>
      </c>
      <c r="M243" s="1" t="s">
        <v>1231</v>
      </c>
      <c r="N243">
        <v>45.541440000000001</v>
      </c>
      <c r="O243">
        <v>-100.4858</v>
      </c>
      <c r="P243" s="1" t="s">
        <v>25</v>
      </c>
      <c r="Q243" s="1" t="s">
        <v>26</v>
      </c>
      <c r="R243" s="1" t="s">
        <v>896</v>
      </c>
      <c r="S243" s="2">
        <v>1285.24</v>
      </c>
    </row>
    <row r="244" spans="1:19" x14ac:dyDescent="0.3">
      <c r="A244" s="1" t="s">
        <v>19</v>
      </c>
      <c r="B244" s="1" t="s">
        <v>1044</v>
      </c>
      <c r="C244" s="1" t="s">
        <v>1045</v>
      </c>
      <c r="D244" s="1" t="s">
        <v>1057</v>
      </c>
      <c r="E244" s="1" t="s">
        <v>1058</v>
      </c>
      <c r="F244" s="1" t="s">
        <v>22</v>
      </c>
      <c r="G244" s="1" t="s">
        <v>23</v>
      </c>
      <c r="H244">
        <v>3050111</v>
      </c>
      <c r="I244" s="1" t="s">
        <v>1059</v>
      </c>
      <c r="J244">
        <v>72</v>
      </c>
      <c r="K244">
        <v>72</v>
      </c>
      <c r="L244" s="1" t="s">
        <v>1043</v>
      </c>
      <c r="M244" s="1" t="s">
        <v>1056</v>
      </c>
      <c r="N244">
        <v>33.503055600000003</v>
      </c>
      <c r="O244">
        <v>-80.458055599999994</v>
      </c>
      <c r="P244" s="1" t="s">
        <v>25</v>
      </c>
      <c r="Q244" s="1" t="s">
        <v>26</v>
      </c>
      <c r="R244" s="1" t="s">
        <v>180</v>
      </c>
      <c r="S244" s="2">
        <v>324.315</v>
      </c>
    </row>
    <row r="245" spans="1:19" x14ac:dyDescent="0.3">
      <c r="A245" s="1" t="s">
        <v>19</v>
      </c>
      <c r="B245" s="1" t="s">
        <v>1044</v>
      </c>
      <c r="C245" s="1" t="s">
        <v>1045</v>
      </c>
      <c r="D245" s="1" t="s">
        <v>1114</v>
      </c>
      <c r="E245" s="1" t="s">
        <v>1115</v>
      </c>
      <c r="F245" s="1" t="s">
        <v>22</v>
      </c>
      <c r="G245" s="1" t="s">
        <v>23</v>
      </c>
      <c r="H245">
        <v>3050111</v>
      </c>
      <c r="I245" s="1" t="s">
        <v>1116</v>
      </c>
      <c r="J245">
        <v>72</v>
      </c>
      <c r="K245">
        <v>72</v>
      </c>
      <c r="L245" s="1" t="s">
        <v>1043</v>
      </c>
      <c r="M245" s="1" t="s">
        <v>1056</v>
      </c>
      <c r="N245">
        <v>33.520277800000002</v>
      </c>
      <c r="O245">
        <v>-80.438055599999998</v>
      </c>
      <c r="P245" s="1" t="s">
        <v>25</v>
      </c>
      <c r="Q245" s="1" t="s">
        <v>26</v>
      </c>
      <c r="R245" s="1" t="s">
        <v>180</v>
      </c>
      <c r="S245" s="2">
        <v>324.315</v>
      </c>
    </row>
    <row r="246" spans="1:19" x14ac:dyDescent="0.3">
      <c r="A246" s="1" t="s">
        <v>19</v>
      </c>
      <c r="B246" s="1" t="s">
        <v>1233</v>
      </c>
      <c r="C246" s="1" t="s">
        <v>1234</v>
      </c>
      <c r="D246" s="1" t="s">
        <v>1395</v>
      </c>
      <c r="E246" s="1" t="s">
        <v>1396</v>
      </c>
      <c r="F246" s="1" t="s">
        <v>22</v>
      </c>
      <c r="G246" s="1" t="s">
        <v>23</v>
      </c>
      <c r="H246">
        <v>12030202</v>
      </c>
      <c r="I246" s="1" t="s">
        <v>1397</v>
      </c>
      <c r="J246">
        <v>72</v>
      </c>
      <c r="K246">
        <v>72</v>
      </c>
      <c r="L246" s="1" t="s">
        <v>1232</v>
      </c>
      <c r="M246" s="1" t="s">
        <v>167</v>
      </c>
      <c r="N246">
        <v>30.800003199999999</v>
      </c>
      <c r="O246">
        <v>-95.156096000000005</v>
      </c>
      <c r="P246" s="1" t="s">
        <v>25</v>
      </c>
      <c r="Q246" s="1" t="s">
        <v>26</v>
      </c>
      <c r="R246" s="1" t="s">
        <v>1288</v>
      </c>
      <c r="S246" s="2">
        <v>302.84300000000002</v>
      </c>
    </row>
    <row r="247" spans="1:19" x14ac:dyDescent="0.3">
      <c r="A247" s="1" t="s">
        <v>19</v>
      </c>
      <c r="B247" s="1" t="s">
        <v>334</v>
      </c>
      <c r="C247" s="1" t="s">
        <v>335</v>
      </c>
      <c r="D247" s="1" t="s">
        <v>1473</v>
      </c>
      <c r="E247" s="1" t="s">
        <v>1474</v>
      </c>
      <c r="F247" s="1" t="s">
        <v>22</v>
      </c>
      <c r="G247" s="1" t="s">
        <v>23</v>
      </c>
      <c r="H247">
        <v>17020001</v>
      </c>
      <c r="I247" s="1" t="s">
        <v>1475</v>
      </c>
      <c r="J247">
        <v>72</v>
      </c>
      <c r="K247">
        <v>72</v>
      </c>
      <c r="L247" s="1" t="s">
        <v>1476</v>
      </c>
      <c r="M247" s="1" t="s">
        <v>1477</v>
      </c>
      <c r="N247">
        <v>47.9519333</v>
      </c>
      <c r="O247">
        <v>-118.97535000000001</v>
      </c>
      <c r="P247" s="1" t="s">
        <v>25</v>
      </c>
      <c r="Q247" s="1" t="s">
        <v>26</v>
      </c>
      <c r="R247" s="1" t="s">
        <v>1478</v>
      </c>
      <c r="S247" s="2">
        <v>302.57299999999998</v>
      </c>
    </row>
    <row r="248" spans="1:19" x14ac:dyDescent="0.3">
      <c r="A248" s="1" t="s">
        <v>19</v>
      </c>
      <c r="B248" s="1" t="s">
        <v>1044</v>
      </c>
      <c r="C248" s="1" t="s">
        <v>1045</v>
      </c>
      <c r="D248" s="1" t="s">
        <v>1084</v>
      </c>
      <c r="E248" s="1" t="s">
        <v>1085</v>
      </c>
      <c r="F248" s="1" t="s">
        <v>22</v>
      </c>
      <c r="G248" s="1" t="s">
        <v>23</v>
      </c>
      <c r="H248">
        <v>3050201</v>
      </c>
      <c r="I248" s="1" t="s">
        <v>1086</v>
      </c>
      <c r="J248">
        <v>72</v>
      </c>
      <c r="K248">
        <v>72</v>
      </c>
      <c r="L248" s="1" t="s">
        <v>1043</v>
      </c>
      <c r="M248" s="1" t="s">
        <v>1076</v>
      </c>
      <c r="N248">
        <v>33.366683299999998</v>
      </c>
      <c r="O248">
        <v>-80.081111100000001</v>
      </c>
      <c r="P248" s="1" t="s">
        <v>25</v>
      </c>
      <c r="Q248" s="1" t="s">
        <v>26</v>
      </c>
      <c r="R248" s="1" t="s">
        <v>1083</v>
      </c>
      <c r="S248" s="2">
        <v>233.22800000000001</v>
      </c>
    </row>
    <row r="249" spans="1:19" x14ac:dyDescent="0.3">
      <c r="A249" s="1" t="s">
        <v>19</v>
      </c>
      <c r="B249" s="1" t="s">
        <v>289</v>
      </c>
      <c r="C249" s="1" t="s">
        <v>290</v>
      </c>
      <c r="D249" s="1" t="s">
        <v>307</v>
      </c>
      <c r="E249" s="1" t="s">
        <v>308</v>
      </c>
      <c r="F249" s="1" t="s">
        <v>61</v>
      </c>
      <c r="G249" s="1" t="s">
        <v>23</v>
      </c>
      <c r="H249">
        <v>3080101</v>
      </c>
      <c r="I249" s="1" t="s">
        <v>309</v>
      </c>
      <c r="J249">
        <v>36</v>
      </c>
      <c r="K249">
        <v>72</v>
      </c>
      <c r="L249" s="1" t="s">
        <v>127</v>
      </c>
      <c r="M249" s="1" t="s">
        <v>168</v>
      </c>
      <c r="N249">
        <v>29.341980599999999</v>
      </c>
      <c r="O249">
        <v>-81.629219399999997</v>
      </c>
      <c r="P249" s="1" t="s">
        <v>25</v>
      </c>
      <c r="Q249" s="1" t="s">
        <v>26</v>
      </c>
      <c r="R249" s="1" t="s">
        <v>173</v>
      </c>
      <c r="S249" s="2">
        <v>214.29</v>
      </c>
    </row>
    <row r="250" spans="1:19" x14ac:dyDescent="0.3">
      <c r="A250" s="1" t="s">
        <v>19</v>
      </c>
      <c r="B250" s="1" t="s">
        <v>692</v>
      </c>
      <c r="C250" s="1" t="s">
        <v>693</v>
      </c>
      <c r="D250" s="1" t="s">
        <v>1220</v>
      </c>
      <c r="E250" s="1" t="s">
        <v>1221</v>
      </c>
      <c r="F250" s="1" t="s">
        <v>22</v>
      </c>
      <c r="G250" s="1" t="s">
        <v>23</v>
      </c>
      <c r="H250">
        <v>10130105</v>
      </c>
      <c r="I250" s="1" t="s">
        <v>1222</v>
      </c>
      <c r="J250">
        <v>71</v>
      </c>
      <c r="K250">
        <v>71</v>
      </c>
      <c r="L250" s="1" t="s">
        <v>1182</v>
      </c>
      <c r="M250" s="1" t="s">
        <v>1223</v>
      </c>
      <c r="N250">
        <v>44.770919999999997</v>
      </c>
      <c r="O250">
        <v>-100.71729999999999</v>
      </c>
      <c r="P250" s="1" t="s">
        <v>25</v>
      </c>
      <c r="Q250" s="1" t="s">
        <v>26</v>
      </c>
      <c r="R250" s="1" t="s">
        <v>896</v>
      </c>
      <c r="S250" s="2">
        <v>1285.24</v>
      </c>
    </row>
    <row r="251" spans="1:19" x14ac:dyDescent="0.3">
      <c r="A251" s="1" t="s">
        <v>19</v>
      </c>
      <c r="B251" s="1" t="s">
        <v>692</v>
      </c>
      <c r="C251" s="1" t="s">
        <v>693</v>
      </c>
      <c r="D251" s="1" t="s">
        <v>880</v>
      </c>
      <c r="E251" s="1" t="s">
        <v>881</v>
      </c>
      <c r="F251" s="1" t="s">
        <v>22</v>
      </c>
      <c r="G251" s="1" t="s">
        <v>23</v>
      </c>
      <c r="H251">
        <v>10110101</v>
      </c>
      <c r="I251" s="1" t="s">
        <v>882</v>
      </c>
      <c r="J251">
        <v>71</v>
      </c>
      <c r="K251">
        <v>71</v>
      </c>
      <c r="L251" s="1" t="s">
        <v>816</v>
      </c>
      <c r="M251" s="1" t="s">
        <v>832</v>
      </c>
      <c r="N251">
        <v>47.519779999999997</v>
      </c>
      <c r="O251">
        <v>-101.7612</v>
      </c>
      <c r="P251" s="1" t="s">
        <v>25</v>
      </c>
      <c r="Q251" s="1" t="s">
        <v>26</v>
      </c>
      <c r="R251" s="1" t="s">
        <v>824</v>
      </c>
      <c r="S251" s="2">
        <v>1214.02</v>
      </c>
    </row>
    <row r="252" spans="1:19" x14ac:dyDescent="0.3">
      <c r="A252" s="1" t="s">
        <v>19</v>
      </c>
      <c r="B252" s="1" t="s">
        <v>842</v>
      </c>
      <c r="C252" s="1" t="s">
        <v>843</v>
      </c>
      <c r="D252" s="1" t="s">
        <v>847</v>
      </c>
      <c r="E252" s="1" t="s">
        <v>848</v>
      </c>
      <c r="F252" s="1" t="s">
        <v>61</v>
      </c>
      <c r="G252" s="1" t="s">
        <v>23</v>
      </c>
      <c r="H252">
        <v>9020201</v>
      </c>
      <c r="I252" s="1" t="s">
        <v>849</v>
      </c>
      <c r="J252">
        <v>70</v>
      </c>
      <c r="K252">
        <v>71</v>
      </c>
      <c r="L252" s="1" t="s">
        <v>816</v>
      </c>
      <c r="M252" s="1" t="s">
        <v>817</v>
      </c>
      <c r="N252">
        <v>48.032649999999997</v>
      </c>
      <c r="O252">
        <v>-98.953329999999994</v>
      </c>
      <c r="P252" s="1" t="s">
        <v>25</v>
      </c>
      <c r="Q252" s="1" t="s">
        <v>26</v>
      </c>
      <c r="R252" s="1" t="s">
        <v>434</v>
      </c>
      <c r="S252" s="2">
        <v>359.2</v>
      </c>
    </row>
    <row r="253" spans="1:19" x14ac:dyDescent="0.3">
      <c r="A253" s="1" t="s">
        <v>19</v>
      </c>
      <c r="B253" s="1" t="s">
        <v>842</v>
      </c>
      <c r="C253" s="1" t="s">
        <v>843</v>
      </c>
      <c r="D253" s="1" t="s">
        <v>853</v>
      </c>
      <c r="E253" s="1" t="s">
        <v>854</v>
      </c>
      <c r="F253" s="1" t="s">
        <v>61</v>
      </c>
      <c r="G253" s="1" t="s">
        <v>23</v>
      </c>
      <c r="H253">
        <v>9020201</v>
      </c>
      <c r="I253" s="1" t="s">
        <v>855</v>
      </c>
      <c r="J253">
        <v>70</v>
      </c>
      <c r="K253">
        <v>71</v>
      </c>
      <c r="L253" s="1" t="s">
        <v>816</v>
      </c>
      <c r="M253" s="1" t="s">
        <v>856</v>
      </c>
      <c r="N253">
        <v>48.013350000000003</v>
      </c>
      <c r="O253">
        <v>-99.111919999999998</v>
      </c>
      <c r="P253" s="1" t="s">
        <v>25</v>
      </c>
      <c r="Q253" s="1" t="s">
        <v>26</v>
      </c>
      <c r="R253" s="1" t="s">
        <v>434</v>
      </c>
      <c r="S253" s="2">
        <v>359.2</v>
      </c>
    </row>
    <row r="254" spans="1:19" x14ac:dyDescent="0.3">
      <c r="A254" s="1" t="s">
        <v>19</v>
      </c>
      <c r="B254" s="1" t="s">
        <v>1044</v>
      </c>
      <c r="C254" s="1" t="s">
        <v>1045</v>
      </c>
      <c r="D254" s="1" t="s">
        <v>1069</v>
      </c>
      <c r="E254" s="1" t="s">
        <v>1070</v>
      </c>
      <c r="F254" s="1" t="s">
        <v>22</v>
      </c>
      <c r="G254" s="1" t="s">
        <v>23</v>
      </c>
      <c r="H254">
        <v>3050111</v>
      </c>
      <c r="I254" s="1" t="s">
        <v>1071</v>
      </c>
      <c r="J254">
        <v>71</v>
      </c>
      <c r="K254">
        <v>71</v>
      </c>
      <c r="L254" s="1" t="s">
        <v>1043</v>
      </c>
      <c r="M254" s="1" t="s">
        <v>1072</v>
      </c>
      <c r="N254">
        <v>33.424722199999998</v>
      </c>
      <c r="O254">
        <v>-80.225277800000001</v>
      </c>
      <c r="P254" s="1" t="s">
        <v>25</v>
      </c>
      <c r="Q254" s="1" t="s">
        <v>26</v>
      </c>
      <c r="R254" s="1" t="s">
        <v>180</v>
      </c>
      <c r="S254" s="2">
        <v>324.315</v>
      </c>
    </row>
    <row r="255" spans="1:19" x14ac:dyDescent="0.3">
      <c r="A255" s="1" t="s">
        <v>19</v>
      </c>
      <c r="B255" s="1" t="s">
        <v>1044</v>
      </c>
      <c r="C255" s="1" t="s">
        <v>1045</v>
      </c>
      <c r="D255" s="1" t="s">
        <v>1087</v>
      </c>
      <c r="E255" s="1" t="s">
        <v>1088</v>
      </c>
      <c r="F255" s="1" t="s">
        <v>22</v>
      </c>
      <c r="G255" s="1" t="s">
        <v>23</v>
      </c>
      <c r="H255">
        <v>3050201</v>
      </c>
      <c r="I255" s="1" t="s">
        <v>1089</v>
      </c>
      <c r="J255">
        <v>71</v>
      </c>
      <c r="K255">
        <v>71</v>
      </c>
      <c r="L255" s="1" t="s">
        <v>1043</v>
      </c>
      <c r="M255" s="1" t="s">
        <v>1076</v>
      </c>
      <c r="N255">
        <v>33.3163889</v>
      </c>
      <c r="O255">
        <v>-80.056944400000006</v>
      </c>
      <c r="P255" s="1" t="s">
        <v>25</v>
      </c>
      <c r="Q255" s="1" t="s">
        <v>26</v>
      </c>
      <c r="R255" s="1" t="s">
        <v>1083</v>
      </c>
      <c r="S255" s="2">
        <v>233.22800000000001</v>
      </c>
    </row>
    <row r="256" spans="1:19" x14ac:dyDescent="0.3">
      <c r="A256" s="1" t="s">
        <v>19</v>
      </c>
      <c r="B256" s="1" t="s">
        <v>1044</v>
      </c>
      <c r="C256" s="1" t="s">
        <v>1045</v>
      </c>
      <c r="D256" s="1" t="s">
        <v>1120</v>
      </c>
      <c r="E256" s="1" t="s">
        <v>1121</v>
      </c>
      <c r="F256" s="1" t="s">
        <v>22</v>
      </c>
      <c r="G256" s="1" t="s">
        <v>23</v>
      </c>
      <c r="H256">
        <v>3050201</v>
      </c>
      <c r="I256" s="1" t="s">
        <v>1122</v>
      </c>
      <c r="J256">
        <v>71</v>
      </c>
      <c r="K256">
        <v>71</v>
      </c>
      <c r="L256" s="1" t="s">
        <v>1043</v>
      </c>
      <c r="M256" s="1" t="s">
        <v>1076</v>
      </c>
      <c r="N256">
        <v>33.2197222</v>
      </c>
      <c r="O256">
        <v>-80.033341699999994</v>
      </c>
      <c r="P256" s="1" t="s">
        <v>25</v>
      </c>
      <c r="Q256" s="1" t="s">
        <v>26</v>
      </c>
      <c r="R256" s="1" t="s">
        <v>1083</v>
      </c>
      <c r="S256" s="2">
        <v>233.22800000000001</v>
      </c>
    </row>
    <row r="257" spans="1:19" x14ac:dyDescent="0.3">
      <c r="A257" s="1" t="s">
        <v>19</v>
      </c>
      <c r="B257" s="1" t="s">
        <v>1123</v>
      </c>
      <c r="C257" s="1" t="s">
        <v>1045</v>
      </c>
      <c r="D257" s="1" t="s">
        <v>1159</v>
      </c>
      <c r="E257" s="1" t="s">
        <v>1160</v>
      </c>
      <c r="F257" s="1" t="s">
        <v>61</v>
      </c>
      <c r="G257" s="1" t="s">
        <v>23</v>
      </c>
      <c r="H257">
        <v>3050201</v>
      </c>
      <c r="I257" s="1" t="s">
        <v>1161</v>
      </c>
      <c r="J257">
        <v>71</v>
      </c>
      <c r="K257">
        <v>71</v>
      </c>
      <c r="L257" s="1" t="s">
        <v>1043</v>
      </c>
      <c r="M257" s="1" t="s">
        <v>1076</v>
      </c>
      <c r="N257">
        <v>33.325009999999999</v>
      </c>
      <c r="O257">
        <v>-80.065669999999997</v>
      </c>
      <c r="P257" s="1" t="s">
        <v>25</v>
      </c>
      <c r="Q257" s="1" t="s">
        <v>26</v>
      </c>
      <c r="R257" s="1" t="s">
        <v>1083</v>
      </c>
      <c r="S257" s="2">
        <v>233.22800000000001</v>
      </c>
    </row>
    <row r="258" spans="1:19" x14ac:dyDescent="0.3">
      <c r="A258" s="1" t="s">
        <v>19</v>
      </c>
      <c r="B258" s="1" t="s">
        <v>692</v>
      </c>
      <c r="C258" s="1" t="s">
        <v>693</v>
      </c>
      <c r="D258" s="1" t="s">
        <v>1224</v>
      </c>
      <c r="E258" s="1" t="s">
        <v>1225</v>
      </c>
      <c r="F258" s="1" t="s">
        <v>22</v>
      </c>
      <c r="G258" s="1" t="s">
        <v>23</v>
      </c>
      <c r="H258">
        <v>10130105</v>
      </c>
      <c r="I258" s="1" t="s">
        <v>1226</v>
      </c>
      <c r="J258">
        <v>70</v>
      </c>
      <c r="K258">
        <v>70</v>
      </c>
      <c r="L258" s="1" t="s">
        <v>1182</v>
      </c>
      <c r="M258" s="1" t="s">
        <v>1227</v>
      </c>
      <c r="N258">
        <v>45.030920000000002</v>
      </c>
      <c r="O258">
        <v>-100.39319999999999</v>
      </c>
      <c r="P258" s="1" t="s">
        <v>25</v>
      </c>
      <c r="Q258" s="1" t="s">
        <v>26</v>
      </c>
      <c r="R258" s="1" t="s">
        <v>896</v>
      </c>
      <c r="S258" s="2">
        <v>1285.24</v>
      </c>
    </row>
    <row r="259" spans="1:19" x14ac:dyDescent="0.3">
      <c r="A259" s="1" t="s">
        <v>19</v>
      </c>
      <c r="B259" s="1" t="s">
        <v>1233</v>
      </c>
      <c r="C259" s="1" t="s">
        <v>1234</v>
      </c>
      <c r="D259" s="1" t="s">
        <v>1274</v>
      </c>
      <c r="E259" s="1" t="s">
        <v>1275</v>
      </c>
      <c r="F259" s="1" t="s">
        <v>22</v>
      </c>
      <c r="G259" s="1" t="s">
        <v>23</v>
      </c>
      <c r="H259">
        <v>12020005</v>
      </c>
      <c r="I259" s="1" t="s">
        <v>1276</v>
      </c>
      <c r="J259">
        <v>70</v>
      </c>
      <c r="K259">
        <v>70</v>
      </c>
      <c r="L259" s="1" t="s">
        <v>1232</v>
      </c>
      <c r="M259" s="1" t="s">
        <v>1277</v>
      </c>
      <c r="N259">
        <v>31.373200000000001</v>
      </c>
      <c r="O259">
        <v>-94.472099999999998</v>
      </c>
      <c r="P259" s="1" t="s">
        <v>25</v>
      </c>
      <c r="Q259" s="1" t="s">
        <v>1594</v>
      </c>
      <c r="R259" s="1" t="s">
        <v>1273</v>
      </c>
      <c r="S259" s="2">
        <v>439.49200000000002</v>
      </c>
    </row>
    <row r="260" spans="1:19" x14ac:dyDescent="0.3">
      <c r="A260" s="1" t="s">
        <v>19</v>
      </c>
      <c r="B260" s="1" t="s">
        <v>842</v>
      </c>
      <c r="C260" s="1" t="s">
        <v>843</v>
      </c>
      <c r="D260" s="1" t="s">
        <v>844</v>
      </c>
      <c r="E260" s="1" t="s">
        <v>845</v>
      </c>
      <c r="F260" s="1" t="s">
        <v>61</v>
      </c>
      <c r="G260" s="1" t="s">
        <v>23</v>
      </c>
      <c r="H260">
        <v>9020201</v>
      </c>
      <c r="I260" s="1" t="s">
        <v>846</v>
      </c>
      <c r="J260">
        <v>69</v>
      </c>
      <c r="K260">
        <v>70</v>
      </c>
      <c r="L260" s="1" t="s">
        <v>816</v>
      </c>
      <c r="M260" s="1" t="s">
        <v>817</v>
      </c>
      <c r="N260">
        <v>48.1053</v>
      </c>
      <c r="O260">
        <v>-99.025490000000005</v>
      </c>
      <c r="P260" s="1" t="s">
        <v>25</v>
      </c>
      <c r="Q260" s="1" t="s">
        <v>26</v>
      </c>
      <c r="R260" s="1" t="s">
        <v>434</v>
      </c>
      <c r="S260" s="2">
        <v>359.2</v>
      </c>
    </row>
    <row r="261" spans="1:19" x14ac:dyDescent="0.3">
      <c r="A261" s="1" t="s">
        <v>19</v>
      </c>
      <c r="B261" s="1" t="s">
        <v>842</v>
      </c>
      <c r="C261" s="1" t="s">
        <v>843</v>
      </c>
      <c r="D261" s="1" t="s">
        <v>874</v>
      </c>
      <c r="E261" s="1" t="s">
        <v>875</v>
      </c>
      <c r="F261" s="1" t="s">
        <v>61</v>
      </c>
      <c r="G261" s="1" t="s">
        <v>23</v>
      </c>
      <c r="H261">
        <v>9020201</v>
      </c>
      <c r="I261" s="1" t="s">
        <v>876</v>
      </c>
      <c r="J261">
        <v>69</v>
      </c>
      <c r="K261">
        <v>70</v>
      </c>
      <c r="L261" s="1" t="s">
        <v>816</v>
      </c>
      <c r="M261" s="1" t="s">
        <v>817</v>
      </c>
      <c r="N261">
        <v>48.146340000000002</v>
      </c>
      <c r="O261">
        <v>-99.163989999999998</v>
      </c>
      <c r="P261" s="1" t="s">
        <v>25</v>
      </c>
      <c r="Q261" s="1" t="s">
        <v>26</v>
      </c>
      <c r="R261" s="1" t="s">
        <v>434</v>
      </c>
      <c r="S261" s="2">
        <v>359.2</v>
      </c>
    </row>
    <row r="262" spans="1:19" x14ac:dyDescent="0.3">
      <c r="A262" s="1" t="s">
        <v>19</v>
      </c>
      <c r="B262" s="1" t="s">
        <v>1044</v>
      </c>
      <c r="C262" s="1" t="s">
        <v>1045</v>
      </c>
      <c r="D262" s="1" t="s">
        <v>1060</v>
      </c>
      <c r="E262" s="1" t="s">
        <v>1061</v>
      </c>
      <c r="F262" s="1" t="s">
        <v>22</v>
      </c>
      <c r="G262" s="1" t="s">
        <v>23</v>
      </c>
      <c r="H262">
        <v>3050111</v>
      </c>
      <c r="I262" s="1" t="s">
        <v>1062</v>
      </c>
      <c r="J262">
        <v>70</v>
      </c>
      <c r="K262">
        <v>70</v>
      </c>
      <c r="L262" s="1" t="s">
        <v>1043</v>
      </c>
      <c r="M262" s="1" t="s">
        <v>1056</v>
      </c>
      <c r="N262">
        <v>33.445833299999997</v>
      </c>
      <c r="O262">
        <v>-80.321388900000002</v>
      </c>
      <c r="P262" s="1" t="s">
        <v>25</v>
      </c>
      <c r="Q262" s="1" t="s">
        <v>26</v>
      </c>
      <c r="R262" s="1" t="s">
        <v>180</v>
      </c>
      <c r="S262" s="2">
        <v>324.315</v>
      </c>
    </row>
    <row r="263" spans="1:19" x14ac:dyDescent="0.3">
      <c r="A263" s="1" t="s">
        <v>19</v>
      </c>
      <c r="B263" s="1" t="s">
        <v>1499</v>
      </c>
      <c r="C263" s="1" t="s">
        <v>1500</v>
      </c>
      <c r="D263" s="1" t="s">
        <v>1559</v>
      </c>
      <c r="E263" s="1" t="s">
        <v>1560</v>
      </c>
      <c r="F263" s="1" t="s">
        <v>480</v>
      </c>
      <c r="G263" s="1" t="s">
        <v>23</v>
      </c>
      <c r="H263">
        <v>4060200</v>
      </c>
      <c r="I263" s="1" t="s">
        <v>1561</v>
      </c>
      <c r="J263">
        <v>69</v>
      </c>
      <c r="K263">
        <v>69</v>
      </c>
      <c r="L263" s="1" t="s">
        <v>1479</v>
      </c>
      <c r="M263" s="1" t="s">
        <v>1507</v>
      </c>
      <c r="N263">
        <v>43.050471600000002</v>
      </c>
      <c r="O263">
        <v>-87.886167099999994</v>
      </c>
      <c r="P263" s="1" t="s">
        <v>25</v>
      </c>
      <c r="Q263" s="1" t="s">
        <v>26</v>
      </c>
      <c r="R263" s="1" t="s">
        <v>518</v>
      </c>
      <c r="S263" s="2">
        <v>52823.5</v>
      </c>
    </row>
    <row r="264" spans="1:19" x14ac:dyDescent="0.3">
      <c r="A264" s="1" t="s">
        <v>62</v>
      </c>
      <c r="B264" s="1" t="s">
        <v>718</v>
      </c>
      <c r="C264" s="1" t="s">
        <v>719</v>
      </c>
      <c r="D264" s="1" t="s">
        <v>732</v>
      </c>
      <c r="E264" s="1" t="s">
        <v>733</v>
      </c>
      <c r="F264" s="1" t="s">
        <v>23</v>
      </c>
      <c r="G264" s="1" t="s">
        <v>23</v>
      </c>
      <c r="H264">
        <v>15010005</v>
      </c>
      <c r="I264" s="1" t="s">
        <v>734</v>
      </c>
      <c r="J264">
        <v>69</v>
      </c>
      <c r="K264">
        <v>69</v>
      </c>
      <c r="L264" s="1" t="s">
        <v>723</v>
      </c>
      <c r="M264" s="1" t="s">
        <v>724</v>
      </c>
      <c r="N264">
        <v>36.433722199999998</v>
      </c>
      <c r="O264">
        <v>-114.34588890000001</v>
      </c>
      <c r="P264" s="1" t="s">
        <v>25</v>
      </c>
      <c r="Q264" s="1" t="s">
        <v>26</v>
      </c>
      <c r="R264" s="1" t="s">
        <v>725</v>
      </c>
      <c r="S264" s="2">
        <v>595.22400000000005</v>
      </c>
    </row>
    <row r="265" spans="1:19" x14ac:dyDescent="0.3">
      <c r="A265" s="1" t="s">
        <v>19</v>
      </c>
      <c r="B265" s="1" t="s">
        <v>1233</v>
      </c>
      <c r="C265" s="1" t="s">
        <v>1234</v>
      </c>
      <c r="D265" s="1" t="s">
        <v>1269</v>
      </c>
      <c r="E265" s="1" t="s">
        <v>1270</v>
      </c>
      <c r="F265" s="1" t="s">
        <v>22</v>
      </c>
      <c r="G265" s="1" t="s">
        <v>23</v>
      </c>
      <c r="H265">
        <v>12020005</v>
      </c>
      <c r="I265" s="1" t="s">
        <v>1271</v>
      </c>
      <c r="J265">
        <v>69</v>
      </c>
      <c r="K265">
        <v>69</v>
      </c>
      <c r="L265" s="1" t="s">
        <v>1232</v>
      </c>
      <c r="M265" s="1" t="s">
        <v>1272</v>
      </c>
      <c r="N265">
        <v>31.231200000000001</v>
      </c>
      <c r="O265">
        <v>-94.320099999999996</v>
      </c>
      <c r="P265" s="1" t="s">
        <v>25</v>
      </c>
      <c r="Q265" s="1" t="s">
        <v>1594</v>
      </c>
      <c r="R265" s="1" t="s">
        <v>1273</v>
      </c>
      <c r="S265" s="2">
        <v>439.49200000000002</v>
      </c>
    </row>
    <row r="266" spans="1:19" x14ac:dyDescent="0.3">
      <c r="A266" s="1" t="s">
        <v>19</v>
      </c>
      <c r="B266" s="1" t="s">
        <v>842</v>
      </c>
      <c r="C266" s="1" t="s">
        <v>843</v>
      </c>
      <c r="D266" s="1" t="s">
        <v>850</v>
      </c>
      <c r="E266" s="1" t="s">
        <v>851</v>
      </c>
      <c r="F266" s="1" t="s">
        <v>61</v>
      </c>
      <c r="G266" s="1" t="s">
        <v>23</v>
      </c>
      <c r="H266">
        <v>9020201</v>
      </c>
      <c r="I266" s="1" t="s">
        <v>852</v>
      </c>
      <c r="J266">
        <v>68</v>
      </c>
      <c r="K266">
        <v>69</v>
      </c>
      <c r="L266" s="1" t="s">
        <v>816</v>
      </c>
      <c r="M266" s="1" t="s">
        <v>817</v>
      </c>
      <c r="N266">
        <v>48.059269999999998</v>
      </c>
      <c r="O266">
        <v>-98.841149999999999</v>
      </c>
      <c r="P266" s="1" t="s">
        <v>25</v>
      </c>
      <c r="Q266" s="1" t="s">
        <v>26</v>
      </c>
      <c r="R266" s="1" t="s">
        <v>434</v>
      </c>
      <c r="S266" s="2">
        <v>359.2</v>
      </c>
    </row>
    <row r="267" spans="1:19" x14ac:dyDescent="0.3">
      <c r="A267" s="1" t="s">
        <v>19</v>
      </c>
      <c r="B267" s="1" t="s">
        <v>1044</v>
      </c>
      <c r="C267" s="1" t="s">
        <v>1045</v>
      </c>
      <c r="D267" s="1" t="s">
        <v>1073</v>
      </c>
      <c r="E267" s="1" t="s">
        <v>1074</v>
      </c>
      <c r="F267" s="1" t="s">
        <v>22</v>
      </c>
      <c r="G267" s="1" t="s">
        <v>23</v>
      </c>
      <c r="H267">
        <v>3050111</v>
      </c>
      <c r="I267" s="1" t="s">
        <v>1075</v>
      </c>
      <c r="J267">
        <v>69</v>
      </c>
      <c r="K267">
        <v>69</v>
      </c>
      <c r="L267" s="1" t="s">
        <v>1043</v>
      </c>
      <c r="M267" s="1" t="s">
        <v>1076</v>
      </c>
      <c r="N267">
        <v>33.448055600000004</v>
      </c>
      <c r="O267">
        <v>-80.181666699999994</v>
      </c>
      <c r="P267" s="1" t="s">
        <v>25</v>
      </c>
      <c r="Q267" s="1" t="s">
        <v>26</v>
      </c>
      <c r="R267" s="1" t="s">
        <v>180</v>
      </c>
      <c r="S267" s="2">
        <v>324.315</v>
      </c>
    </row>
    <row r="268" spans="1:19" x14ac:dyDescent="0.3">
      <c r="A268" s="1" t="s">
        <v>19</v>
      </c>
      <c r="B268" s="1" t="s">
        <v>1123</v>
      </c>
      <c r="C268" s="1" t="s">
        <v>1045</v>
      </c>
      <c r="D268" s="1" t="s">
        <v>1174</v>
      </c>
      <c r="E268" s="1" t="s">
        <v>1109</v>
      </c>
      <c r="F268" s="1" t="s">
        <v>61</v>
      </c>
      <c r="G268" s="1" t="s">
        <v>23</v>
      </c>
      <c r="H268">
        <v>3050111</v>
      </c>
      <c r="I268" s="1" t="s">
        <v>1175</v>
      </c>
      <c r="J268">
        <v>69</v>
      </c>
      <c r="K268">
        <v>69</v>
      </c>
      <c r="L268" s="1" t="s">
        <v>1043</v>
      </c>
      <c r="M268" s="1" t="s">
        <v>1072</v>
      </c>
      <c r="N268">
        <v>33.446779999999997</v>
      </c>
      <c r="O268">
        <v>-80.395520000000005</v>
      </c>
      <c r="P268" s="1" t="s">
        <v>25</v>
      </c>
      <c r="Q268" s="1" t="s">
        <v>26</v>
      </c>
      <c r="R268" s="1" t="s">
        <v>180</v>
      </c>
      <c r="S268" s="2">
        <v>324.315</v>
      </c>
    </row>
    <row r="269" spans="1:19" x14ac:dyDescent="0.3">
      <c r="A269" s="1" t="s">
        <v>62</v>
      </c>
      <c r="B269" s="1" t="s">
        <v>771</v>
      </c>
      <c r="C269" s="1" t="s">
        <v>772</v>
      </c>
      <c r="D269" s="1" t="s">
        <v>773</v>
      </c>
      <c r="E269" s="1" t="s">
        <v>774</v>
      </c>
      <c r="F269" s="1" t="s">
        <v>23</v>
      </c>
      <c r="G269" s="1" t="s">
        <v>23</v>
      </c>
      <c r="H269">
        <v>4140201</v>
      </c>
      <c r="I269" s="1" t="s">
        <v>775</v>
      </c>
      <c r="J269">
        <v>69</v>
      </c>
      <c r="K269">
        <v>69</v>
      </c>
      <c r="L269" s="1" t="s">
        <v>776</v>
      </c>
      <c r="M269" s="1" t="s">
        <v>777</v>
      </c>
      <c r="N269">
        <v>42.840805600000003</v>
      </c>
      <c r="O269">
        <v>-76.945583299999996</v>
      </c>
      <c r="P269" s="1" t="s">
        <v>25</v>
      </c>
      <c r="Q269" s="1" t="s">
        <v>26</v>
      </c>
      <c r="R269" s="1" t="s">
        <v>778</v>
      </c>
      <c r="S269" s="2">
        <v>171.49600000000001</v>
      </c>
    </row>
    <row r="270" spans="1:19" x14ac:dyDescent="0.3">
      <c r="A270" s="1" t="s">
        <v>19</v>
      </c>
      <c r="B270" s="1" t="s">
        <v>1044</v>
      </c>
      <c r="C270" s="1" t="s">
        <v>1045</v>
      </c>
      <c r="D270" s="1" t="s">
        <v>1053</v>
      </c>
      <c r="E270" s="1" t="s">
        <v>1054</v>
      </c>
      <c r="F270" s="1" t="s">
        <v>22</v>
      </c>
      <c r="G270" s="1" t="s">
        <v>23</v>
      </c>
      <c r="H270">
        <v>3050111</v>
      </c>
      <c r="I270" s="1" t="s">
        <v>1055</v>
      </c>
      <c r="J270">
        <v>68</v>
      </c>
      <c r="K270">
        <v>68</v>
      </c>
      <c r="L270" s="1" t="s">
        <v>1043</v>
      </c>
      <c r="M270" s="1" t="s">
        <v>1056</v>
      </c>
      <c r="N270">
        <v>33.566686099999998</v>
      </c>
      <c r="O270">
        <v>-80.440277800000004</v>
      </c>
      <c r="P270" s="1" t="s">
        <v>25</v>
      </c>
      <c r="Q270" s="1" t="s">
        <v>26</v>
      </c>
      <c r="R270" s="1" t="s">
        <v>180</v>
      </c>
      <c r="S270" s="2">
        <v>324.315</v>
      </c>
    </row>
    <row r="271" spans="1:19" x14ac:dyDescent="0.3">
      <c r="A271" s="1" t="s">
        <v>19</v>
      </c>
      <c r="B271" s="1" t="s">
        <v>1044</v>
      </c>
      <c r="C271" s="1" t="s">
        <v>1045</v>
      </c>
      <c r="D271" s="1" t="s">
        <v>1063</v>
      </c>
      <c r="E271" s="1" t="s">
        <v>1064</v>
      </c>
      <c r="F271" s="1" t="s">
        <v>22</v>
      </c>
      <c r="G271" s="1" t="s">
        <v>23</v>
      </c>
      <c r="H271">
        <v>3050111</v>
      </c>
      <c r="I271" s="1" t="s">
        <v>1065</v>
      </c>
      <c r="J271">
        <v>68</v>
      </c>
      <c r="K271">
        <v>68</v>
      </c>
      <c r="L271" s="1" t="s">
        <v>1043</v>
      </c>
      <c r="M271" s="1" t="s">
        <v>1056</v>
      </c>
      <c r="N271">
        <v>33.526944399999998</v>
      </c>
      <c r="O271">
        <v>-80.313333299999996</v>
      </c>
      <c r="P271" s="1" t="s">
        <v>25</v>
      </c>
      <c r="Q271" s="1" t="s">
        <v>26</v>
      </c>
      <c r="R271" s="1" t="s">
        <v>180</v>
      </c>
      <c r="S271" s="2">
        <v>324.315</v>
      </c>
    </row>
    <row r="272" spans="1:19" x14ac:dyDescent="0.3">
      <c r="A272" s="1" t="s">
        <v>19</v>
      </c>
      <c r="B272" s="1" t="s">
        <v>1044</v>
      </c>
      <c r="C272" s="1" t="s">
        <v>1045</v>
      </c>
      <c r="D272" s="1" t="s">
        <v>1066</v>
      </c>
      <c r="E272" s="1" t="s">
        <v>1067</v>
      </c>
      <c r="F272" s="1" t="s">
        <v>22</v>
      </c>
      <c r="G272" s="1" t="s">
        <v>23</v>
      </c>
      <c r="H272">
        <v>3050111</v>
      </c>
      <c r="I272" s="1" t="s">
        <v>1068</v>
      </c>
      <c r="J272">
        <v>68</v>
      </c>
      <c r="K272">
        <v>68</v>
      </c>
      <c r="L272" s="1" t="s">
        <v>1043</v>
      </c>
      <c r="M272" s="1" t="s">
        <v>1056</v>
      </c>
      <c r="N272">
        <v>33.531111099999997</v>
      </c>
      <c r="O272">
        <v>-80.265277800000007</v>
      </c>
      <c r="P272" s="1" t="s">
        <v>25</v>
      </c>
      <c r="Q272" s="1" t="s">
        <v>26</v>
      </c>
      <c r="R272" s="1" t="s">
        <v>180</v>
      </c>
      <c r="S272" s="2">
        <v>324.315</v>
      </c>
    </row>
    <row r="273" spans="1:19" x14ac:dyDescent="0.3">
      <c r="A273" s="1" t="s">
        <v>19</v>
      </c>
      <c r="B273" s="1" t="s">
        <v>1044</v>
      </c>
      <c r="C273" s="1" t="s">
        <v>1045</v>
      </c>
      <c r="D273" s="1" t="s">
        <v>1096</v>
      </c>
      <c r="E273" s="1" t="s">
        <v>1097</v>
      </c>
      <c r="F273" s="1" t="s">
        <v>22</v>
      </c>
      <c r="G273" s="1" t="s">
        <v>23</v>
      </c>
      <c r="H273">
        <v>3050111</v>
      </c>
      <c r="I273" s="1" t="s">
        <v>1098</v>
      </c>
      <c r="J273">
        <v>68</v>
      </c>
      <c r="K273">
        <v>68</v>
      </c>
      <c r="L273" s="1" t="s">
        <v>1043</v>
      </c>
      <c r="M273" s="1" t="s">
        <v>1056</v>
      </c>
      <c r="N273">
        <v>33.512500000000003</v>
      </c>
      <c r="O273">
        <v>-80.198333300000002</v>
      </c>
      <c r="P273" s="1" t="s">
        <v>25</v>
      </c>
      <c r="Q273" s="1" t="s">
        <v>26</v>
      </c>
      <c r="R273" s="1" t="s">
        <v>180</v>
      </c>
      <c r="S273" s="2">
        <v>324.315</v>
      </c>
    </row>
    <row r="274" spans="1:19" x14ac:dyDescent="0.3">
      <c r="A274" s="1" t="s">
        <v>19</v>
      </c>
      <c r="B274" s="1" t="s">
        <v>1044</v>
      </c>
      <c r="C274" s="1" t="s">
        <v>1045</v>
      </c>
      <c r="D274" s="1" t="s">
        <v>1108</v>
      </c>
      <c r="E274" s="1" t="s">
        <v>1109</v>
      </c>
      <c r="F274" s="1" t="s">
        <v>22</v>
      </c>
      <c r="G274" s="1" t="s">
        <v>23</v>
      </c>
      <c r="H274">
        <v>3050111</v>
      </c>
      <c r="I274" s="1" t="s">
        <v>1110</v>
      </c>
      <c r="J274">
        <v>68</v>
      </c>
      <c r="K274">
        <v>68</v>
      </c>
      <c r="L274" s="1" t="s">
        <v>1043</v>
      </c>
      <c r="M274" s="1" t="s">
        <v>1072</v>
      </c>
      <c r="N274">
        <v>33.445833299999997</v>
      </c>
      <c r="O274">
        <v>-80.395555599999994</v>
      </c>
      <c r="P274" s="1" t="s">
        <v>25</v>
      </c>
      <c r="Q274" s="1" t="s">
        <v>26</v>
      </c>
      <c r="R274" s="1" t="s">
        <v>180</v>
      </c>
      <c r="S274" s="2">
        <v>324.315</v>
      </c>
    </row>
    <row r="275" spans="1:19" x14ac:dyDescent="0.3">
      <c r="A275" s="1" t="s">
        <v>19</v>
      </c>
      <c r="B275" s="1" t="s">
        <v>334</v>
      </c>
      <c r="C275" s="1" t="s">
        <v>335</v>
      </c>
      <c r="D275" s="1" t="s">
        <v>336</v>
      </c>
      <c r="E275" s="1" t="s">
        <v>337</v>
      </c>
      <c r="F275" s="1" t="s">
        <v>22</v>
      </c>
      <c r="G275" s="1" t="s">
        <v>23</v>
      </c>
      <c r="H275">
        <v>17040206</v>
      </c>
      <c r="I275" s="1" t="s">
        <v>338</v>
      </c>
      <c r="J275">
        <v>68</v>
      </c>
      <c r="K275">
        <v>68</v>
      </c>
      <c r="L275" s="1" t="s">
        <v>332</v>
      </c>
      <c r="M275" s="1" t="s">
        <v>339</v>
      </c>
      <c r="N275">
        <v>42.782649999999997</v>
      </c>
      <c r="O275">
        <v>-112.87604</v>
      </c>
      <c r="P275" s="1" t="s">
        <v>25</v>
      </c>
      <c r="Q275" s="1" t="s">
        <v>1594</v>
      </c>
      <c r="R275" s="1" t="s">
        <v>340</v>
      </c>
      <c r="S275" s="2">
        <v>221.44399999999999</v>
      </c>
    </row>
    <row r="276" spans="1:19" x14ac:dyDescent="0.3">
      <c r="A276" s="1" t="s">
        <v>19</v>
      </c>
      <c r="B276" s="1" t="s">
        <v>692</v>
      </c>
      <c r="C276" s="1" t="s">
        <v>693</v>
      </c>
      <c r="D276" s="1" t="s">
        <v>883</v>
      </c>
      <c r="E276" s="1" t="s">
        <v>884</v>
      </c>
      <c r="F276" s="1" t="s">
        <v>22</v>
      </c>
      <c r="G276" s="1" t="s">
        <v>23</v>
      </c>
      <c r="H276">
        <v>10110101</v>
      </c>
      <c r="I276" s="1" t="s">
        <v>885</v>
      </c>
      <c r="J276">
        <v>67</v>
      </c>
      <c r="K276">
        <v>67</v>
      </c>
      <c r="L276" s="1" t="s">
        <v>816</v>
      </c>
      <c r="M276" s="1" t="s">
        <v>818</v>
      </c>
      <c r="N276">
        <v>47.715560000000004</v>
      </c>
      <c r="O276">
        <v>-102.2581</v>
      </c>
      <c r="P276" s="1" t="s">
        <v>25</v>
      </c>
      <c r="Q276" s="1" t="s">
        <v>26</v>
      </c>
      <c r="R276" s="1" t="s">
        <v>824</v>
      </c>
      <c r="S276" s="2">
        <v>1214.02</v>
      </c>
    </row>
    <row r="277" spans="1:19" x14ac:dyDescent="0.3">
      <c r="A277" s="1" t="s">
        <v>19</v>
      </c>
      <c r="B277" s="1" t="s">
        <v>590</v>
      </c>
      <c r="C277" s="1" t="s">
        <v>591</v>
      </c>
      <c r="D277" s="1" t="s">
        <v>610</v>
      </c>
      <c r="E277" s="1" t="s">
        <v>611</v>
      </c>
      <c r="F277" s="1" t="s">
        <v>61</v>
      </c>
      <c r="G277" s="1" t="s">
        <v>23</v>
      </c>
      <c r="H277">
        <v>7010207</v>
      </c>
      <c r="I277" s="1" t="s">
        <v>612</v>
      </c>
      <c r="J277">
        <v>67</v>
      </c>
      <c r="K277">
        <v>67</v>
      </c>
      <c r="L277" s="1" t="s">
        <v>582</v>
      </c>
      <c r="M277" s="1" t="s">
        <v>606</v>
      </c>
      <c r="N277">
        <v>46.159500000000001</v>
      </c>
      <c r="O277">
        <v>-93.649500000000003</v>
      </c>
      <c r="P277" s="1" t="s">
        <v>25</v>
      </c>
      <c r="Q277" s="1" t="s">
        <v>26</v>
      </c>
      <c r="R277" s="1" t="s">
        <v>596</v>
      </c>
      <c r="S277" s="2">
        <v>511.649</v>
      </c>
    </row>
    <row r="278" spans="1:19" x14ac:dyDescent="0.3">
      <c r="A278" s="1" t="s">
        <v>19</v>
      </c>
      <c r="B278" s="1" t="s">
        <v>1233</v>
      </c>
      <c r="C278" s="1" t="s">
        <v>1234</v>
      </c>
      <c r="D278" s="1" t="s">
        <v>1386</v>
      </c>
      <c r="E278" s="1" t="s">
        <v>1387</v>
      </c>
      <c r="F278" s="1" t="s">
        <v>22</v>
      </c>
      <c r="G278" s="1" t="s">
        <v>23</v>
      </c>
      <c r="H278">
        <v>11130210</v>
      </c>
      <c r="I278" s="1" t="s">
        <v>1388</v>
      </c>
      <c r="J278">
        <v>67</v>
      </c>
      <c r="K278">
        <v>67</v>
      </c>
      <c r="L278" s="1" t="s">
        <v>1232</v>
      </c>
      <c r="M278" s="1" t="s">
        <v>1238</v>
      </c>
      <c r="N278">
        <v>33.819400000000002</v>
      </c>
      <c r="O278">
        <v>-96.574200000000005</v>
      </c>
      <c r="P278" s="1" t="s">
        <v>25</v>
      </c>
      <c r="Q278" s="1" t="s">
        <v>26</v>
      </c>
      <c r="R278" s="1" t="s">
        <v>1239</v>
      </c>
      <c r="S278" s="2">
        <v>341.50400000000002</v>
      </c>
    </row>
    <row r="279" spans="1:19" x14ac:dyDescent="0.3">
      <c r="A279" s="1" t="s">
        <v>19</v>
      </c>
      <c r="B279" s="1" t="s">
        <v>692</v>
      </c>
      <c r="C279" s="1" t="s">
        <v>693</v>
      </c>
      <c r="D279" s="1" t="s">
        <v>1197</v>
      </c>
      <c r="E279" s="1" t="s">
        <v>1198</v>
      </c>
      <c r="F279" s="1" t="s">
        <v>22</v>
      </c>
      <c r="G279" s="1" t="s">
        <v>23</v>
      </c>
      <c r="H279">
        <v>10140101</v>
      </c>
      <c r="I279" s="1" t="s">
        <v>1199</v>
      </c>
      <c r="J279">
        <v>67</v>
      </c>
      <c r="K279">
        <v>67</v>
      </c>
      <c r="L279" s="1" t="s">
        <v>1182</v>
      </c>
      <c r="M279" s="1" t="s">
        <v>1200</v>
      </c>
      <c r="N279">
        <v>43.279719999999998</v>
      </c>
      <c r="O279">
        <v>-99.011279999999999</v>
      </c>
      <c r="P279" s="1" t="s">
        <v>25</v>
      </c>
      <c r="Q279" s="1" t="s">
        <v>26</v>
      </c>
      <c r="R279" s="1" t="s">
        <v>1196</v>
      </c>
      <c r="S279" s="2">
        <v>331.62299999999999</v>
      </c>
    </row>
    <row r="280" spans="1:19" x14ac:dyDescent="0.3">
      <c r="A280" s="1" t="s">
        <v>19</v>
      </c>
      <c r="B280" s="1" t="s">
        <v>1044</v>
      </c>
      <c r="C280" s="1" t="s">
        <v>1045</v>
      </c>
      <c r="D280" s="1" t="s">
        <v>1099</v>
      </c>
      <c r="E280" s="1" t="s">
        <v>1100</v>
      </c>
      <c r="F280" s="1" t="s">
        <v>22</v>
      </c>
      <c r="G280" s="1" t="s">
        <v>23</v>
      </c>
      <c r="H280">
        <v>3050111</v>
      </c>
      <c r="I280" s="1" t="s">
        <v>1101</v>
      </c>
      <c r="J280">
        <v>67</v>
      </c>
      <c r="K280">
        <v>67</v>
      </c>
      <c r="L280" s="1" t="s">
        <v>1043</v>
      </c>
      <c r="M280" s="1" t="s">
        <v>1056</v>
      </c>
      <c r="N280">
        <v>33.486944399999999</v>
      </c>
      <c r="O280">
        <v>-80.308055600000003</v>
      </c>
      <c r="P280" s="1" t="s">
        <v>25</v>
      </c>
      <c r="Q280" s="1" t="s">
        <v>26</v>
      </c>
      <c r="R280" s="1" t="s">
        <v>180</v>
      </c>
      <c r="S280" s="2">
        <v>324.315</v>
      </c>
    </row>
    <row r="281" spans="1:19" x14ac:dyDescent="0.3">
      <c r="A281" s="1" t="s">
        <v>19</v>
      </c>
      <c r="B281" s="1" t="s">
        <v>1044</v>
      </c>
      <c r="C281" s="1" t="s">
        <v>1045</v>
      </c>
      <c r="D281" s="1" t="s">
        <v>1117</v>
      </c>
      <c r="E281" s="1" t="s">
        <v>1118</v>
      </c>
      <c r="F281" s="1" t="s">
        <v>22</v>
      </c>
      <c r="G281" s="1" t="s">
        <v>23</v>
      </c>
      <c r="H281">
        <v>3050111</v>
      </c>
      <c r="I281" s="1" t="s">
        <v>1119</v>
      </c>
      <c r="J281">
        <v>67</v>
      </c>
      <c r="K281">
        <v>67</v>
      </c>
      <c r="L281" s="1" t="s">
        <v>1043</v>
      </c>
      <c r="M281" s="1" t="s">
        <v>363</v>
      </c>
      <c r="N281">
        <v>33.581944399999998</v>
      </c>
      <c r="O281">
        <v>-80.522499999999994</v>
      </c>
      <c r="P281" s="1" t="s">
        <v>25</v>
      </c>
      <c r="Q281" s="1" t="s">
        <v>26</v>
      </c>
      <c r="R281" s="1" t="s">
        <v>180</v>
      </c>
      <c r="S281" s="2">
        <v>324.315</v>
      </c>
    </row>
    <row r="282" spans="1:19" x14ac:dyDescent="0.3">
      <c r="A282" s="1" t="s">
        <v>19</v>
      </c>
      <c r="B282" s="1" t="s">
        <v>1233</v>
      </c>
      <c r="C282" s="1" t="s">
        <v>1234</v>
      </c>
      <c r="D282" s="1" t="s">
        <v>1392</v>
      </c>
      <c r="E282" s="1" t="s">
        <v>1393</v>
      </c>
      <c r="F282" s="1" t="s">
        <v>22</v>
      </c>
      <c r="G282" s="1" t="s">
        <v>23</v>
      </c>
      <c r="H282">
        <v>12030202</v>
      </c>
      <c r="I282" s="1" t="s">
        <v>1394</v>
      </c>
      <c r="J282">
        <v>67</v>
      </c>
      <c r="K282">
        <v>67</v>
      </c>
      <c r="L282" s="1" t="s">
        <v>1232</v>
      </c>
      <c r="M282" s="1" t="s">
        <v>167</v>
      </c>
      <c r="N282">
        <v>30.814103299999999</v>
      </c>
      <c r="O282">
        <v>-95.082595999999995</v>
      </c>
      <c r="P282" s="1" t="s">
        <v>25</v>
      </c>
      <c r="Q282" s="1" t="s">
        <v>26</v>
      </c>
      <c r="R282" s="1" t="s">
        <v>1288</v>
      </c>
      <c r="S282" s="2">
        <v>302.84300000000002</v>
      </c>
    </row>
    <row r="283" spans="1:19" x14ac:dyDescent="0.3">
      <c r="A283" s="1" t="s">
        <v>19</v>
      </c>
      <c r="B283" s="1" t="s">
        <v>1499</v>
      </c>
      <c r="C283" s="1" t="s">
        <v>1500</v>
      </c>
      <c r="D283" s="1" t="s">
        <v>1571</v>
      </c>
      <c r="E283" s="1" t="s">
        <v>1572</v>
      </c>
      <c r="F283" s="1" t="s">
        <v>480</v>
      </c>
      <c r="G283" s="1" t="s">
        <v>23</v>
      </c>
      <c r="H283">
        <v>4060200</v>
      </c>
      <c r="I283" s="1" t="s">
        <v>1573</v>
      </c>
      <c r="J283">
        <v>66</v>
      </c>
      <c r="K283">
        <v>66</v>
      </c>
      <c r="L283" s="1" t="s">
        <v>1479</v>
      </c>
      <c r="M283" s="1" t="s">
        <v>1507</v>
      </c>
      <c r="N283">
        <v>42.891166699999999</v>
      </c>
      <c r="O283">
        <v>-87.841333399999996</v>
      </c>
      <c r="P283" s="1" t="s">
        <v>25</v>
      </c>
      <c r="Q283" s="1" t="s">
        <v>26</v>
      </c>
      <c r="R283" s="1" t="s">
        <v>518</v>
      </c>
      <c r="S283" s="2">
        <v>52823.5</v>
      </c>
    </row>
    <row r="284" spans="1:19" x14ac:dyDescent="0.3">
      <c r="A284" s="1" t="s">
        <v>19</v>
      </c>
      <c r="B284" s="1" t="s">
        <v>1499</v>
      </c>
      <c r="C284" s="1" t="s">
        <v>1500</v>
      </c>
      <c r="D284" s="1" t="s">
        <v>1574</v>
      </c>
      <c r="E284" s="1" t="s">
        <v>1572</v>
      </c>
      <c r="F284" s="1" t="s">
        <v>480</v>
      </c>
      <c r="G284" s="1" t="s">
        <v>23</v>
      </c>
      <c r="H284">
        <v>4060200</v>
      </c>
      <c r="I284" s="1" t="s">
        <v>1575</v>
      </c>
      <c r="J284">
        <v>66</v>
      </c>
      <c r="K284">
        <v>66</v>
      </c>
      <c r="L284" s="1" t="s">
        <v>1479</v>
      </c>
      <c r="M284" s="1" t="s">
        <v>1507</v>
      </c>
      <c r="N284">
        <v>42.891166699999999</v>
      </c>
      <c r="O284">
        <v>-87.834000399999994</v>
      </c>
      <c r="P284" s="1" t="s">
        <v>25</v>
      </c>
      <c r="Q284" s="1" t="s">
        <v>26</v>
      </c>
      <c r="R284" s="1" t="s">
        <v>518</v>
      </c>
      <c r="S284" s="2">
        <v>52823.5</v>
      </c>
    </row>
    <row r="285" spans="1:19" x14ac:dyDescent="0.3">
      <c r="A285" s="1" t="s">
        <v>19</v>
      </c>
      <c r="B285" s="1" t="s">
        <v>1499</v>
      </c>
      <c r="C285" s="1" t="s">
        <v>1500</v>
      </c>
      <c r="D285" s="1" t="s">
        <v>1576</v>
      </c>
      <c r="E285" s="1" t="s">
        <v>1572</v>
      </c>
      <c r="F285" s="1" t="s">
        <v>480</v>
      </c>
      <c r="G285" s="1" t="s">
        <v>23</v>
      </c>
      <c r="H285">
        <v>4060200</v>
      </c>
      <c r="I285" s="1" t="s">
        <v>1577</v>
      </c>
      <c r="J285">
        <v>66</v>
      </c>
      <c r="K285">
        <v>66</v>
      </c>
      <c r="L285" s="1" t="s">
        <v>1479</v>
      </c>
      <c r="M285" s="1" t="s">
        <v>1507</v>
      </c>
      <c r="N285">
        <v>42.893832699999997</v>
      </c>
      <c r="O285">
        <v>-87.837667400000001</v>
      </c>
      <c r="P285" s="1" t="s">
        <v>25</v>
      </c>
      <c r="Q285" s="1" t="s">
        <v>26</v>
      </c>
      <c r="R285" s="1" t="s">
        <v>518</v>
      </c>
      <c r="S285" s="2">
        <v>52823.5</v>
      </c>
    </row>
    <row r="286" spans="1:19" x14ac:dyDescent="0.3">
      <c r="A286" s="1" t="s">
        <v>19</v>
      </c>
      <c r="B286" s="1" t="s">
        <v>692</v>
      </c>
      <c r="C286" s="1" t="s">
        <v>693</v>
      </c>
      <c r="D286" s="1" t="s">
        <v>698</v>
      </c>
      <c r="E286" s="1" t="s">
        <v>699</v>
      </c>
      <c r="F286" s="1" t="s">
        <v>22</v>
      </c>
      <c r="G286" s="1" t="s">
        <v>23</v>
      </c>
      <c r="H286">
        <v>10040104</v>
      </c>
      <c r="I286" s="1" t="s">
        <v>700</v>
      </c>
      <c r="J286">
        <v>66</v>
      </c>
      <c r="K286">
        <v>66</v>
      </c>
      <c r="L286" s="1" t="s">
        <v>683</v>
      </c>
      <c r="M286" s="1" t="s">
        <v>333</v>
      </c>
      <c r="N286">
        <v>47.679969999999997</v>
      </c>
      <c r="O286">
        <v>-106.8796</v>
      </c>
      <c r="P286" s="1" t="s">
        <v>25</v>
      </c>
      <c r="Q286" s="1" t="s">
        <v>26</v>
      </c>
      <c r="R286" s="1" t="s">
        <v>697</v>
      </c>
      <c r="S286" s="2">
        <v>912.18100000000004</v>
      </c>
    </row>
    <row r="287" spans="1:19" x14ac:dyDescent="0.3">
      <c r="A287" s="1" t="s">
        <v>19</v>
      </c>
      <c r="B287" s="1" t="s">
        <v>692</v>
      </c>
      <c r="C287" s="1" t="s">
        <v>693</v>
      </c>
      <c r="D287" s="1" t="s">
        <v>1205</v>
      </c>
      <c r="E287" s="1" t="s">
        <v>1206</v>
      </c>
      <c r="F287" s="1" t="s">
        <v>22</v>
      </c>
      <c r="G287" s="1" t="s">
        <v>23</v>
      </c>
      <c r="H287">
        <v>10140101</v>
      </c>
      <c r="I287" s="1" t="s">
        <v>1207</v>
      </c>
      <c r="J287">
        <v>66</v>
      </c>
      <c r="K287">
        <v>66</v>
      </c>
      <c r="L287" s="1" t="s">
        <v>1182</v>
      </c>
      <c r="M287" s="1" t="s">
        <v>1204</v>
      </c>
      <c r="N287">
        <v>43.83081</v>
      </c>
      <c r="O287">
        <v>-99.326840000000004</v>
      </c>
      <c r="P287" s="1" t="s">
        <v>25</v>
      </c>
      <c r="Q287" s="1" t="s">
        <v>26</v>
      </c>
      <c r="R287" s="1" t="s">
        <v>1196</v>
      </c>
      <c r="S287" s="2">
        <v>331.62299999999999</v>
      </c>
    </row>
    <row r="288" spans="1:19" x14ac:dyDescent="0.3">
      <c r="A288" s="1" t="s">
        <v>19</v>
      </c>
      <c r="B288" s="1" t="s">
        <v>1044</v>
      </c>
      <c r="C288" s="1" t="s">
        <v>1045</v>
      </c>
      <c r="D288" s="1" t="s">
        <v>1046</v>
      </c>
      <c r="E288" s="1" t="s">
        <v>1047</v>
      </c>
      <c r="F288" s="1" t="s">
        <v>61</v>
      </c>
      <c r="G288" s="1" t="s">
        <v>23</v>
      </c>
      <c r="H288">
        <v>3050111</v>
      </c>
      <c r="I288" s="1" t="s">
        <v>1048</v>
      </c>
      <c r="J288">
        <v>66</v>
      </c>
      <c r="K288">
        <v>66</v>
      </c>
      <c r="L288" s="1" t="s">
        <v>1043</v>
      </c>
      <c r="M288" s="1" t="s">
        <v>1049</v>
      </c>
      <c r="N288">
        <v>33.664166700000003</v>
      </c>
      <c r="O288">
        <v>-80.524444399999993</v>
      </c>
      <c r="P288" s="1" t="s">
        <v>25</v>
      </c>
      <c r="Q288" s="1" t="s">
        <v>26</v>
      </c>
      <c r="R288" s="1" t="s">
        <v>180</v>
      </c>
      <c r="S288" s="2">
        <v>324.315</v>
      </c>
    </row>
    <row r="289" spans="1:19" x14ac:dyDescent="0.3">
      <c r="A289" s="1" t="s">
        <v>19</v>
      </c>
      <c r="B289" s="1" t="s">
        <v>1044</v>
      </c>
      <c r="C289" s="1" t="s">
        <v>1045</v>
      </c>
      <c r="D289" s="1" t="s">
        <v>1050</v>
      </c>
      <c r="E289" s="1" t="s">
        <v>1051</v>
      </c>
      <c r="F289" s="1" t="s">
        <v>22</v>
      </c>
      <c r="G289" s="1" t="s">
        <v>23</v>
      </c>
      <c r="H289">
        <v>3050111</v>
      </c>
      <c r="I289" s="1" t="s">
        <v>1052</v>
      </c>
      <c r="J289">
        <v>65</v>
      </c>
      <c r="K289">
        <v>65</v>
      </c>
      <c r="L289" s="1" t="s">
        <v>1043</v>
      </c>
      <c r="M289" s="1" t="s">
        <v>363</v>
      </c>
      <c r="N289">
        <v>33.561111099999998</v>
      </c>
      <c r="O289">
        <v>-80.498888899999997</v>
      </c>
      <c r="P289" s="1" t="s">
        <v>25</v>
      </c>
      <c r="Q289" s="1" t="s">
        <v>26</v>
      </c>
      <c r="R289" s="1" t="s">
        <v>180</v>
      </c>
      <c r="S289" s="2">
        <v>324.315</v>
      </c>
    </row>
    <row r="290" spans="1:19" x14ac:dyDescent="0.3">
      <c r="A290" s="1" t="s">
        <v>19</v>
      </c>
      <c r="B290" s="1" t="s">
        <v>1044</v>
      </c>
      <c r="C290" s="1" t="s">
        <v>1045</v>
      </c>
      <c r="D290" s="1" t="s">
        <v>1105</v>
      </c>
      <c r="E290" s="1" t="s">
        <v>1106</v>
      </c>
      <c r="F290" s="1" t="s">
        <v>22</v>
      </c>
      <c r="G290" s="1" t="s">
        <v>23</v>
      </c>
      <c r="H290">
        <v>3050111</v>
      </c>
      <c r="I290" s="1" t="s">
        <v>1107</v>
      </c>
      <c r="J290">
        <v>65</v>
      </c>
      <c r="K290">
        <v>65</v>
      </c>
      <c r="L290" s="1" t="s">
        <v>1043</v>
      </c>
      <c r="M290" s="1" t="s">
        <v>1056</v>
      </c>
      <c r="N290">
        <v>33.631944400000002</v>
      </c>
      <c r="O290">
        <v>-80.502777800000004</v>
      </c>
      <c r="P290" s="1" t="s">
        <v>25</v>
      </c>
      <c r="Q290" s="1" t="s">
        <v>26</v>
      </c>
      <c r="R290" s="1" t="s">
        <v>180</v>
      </c>
      <c r="S290" s="2">
        <v>324.315</v>
      </c>
    </row>
    <row r="291" spans="1:19" x14ac:dyDescent="0.3">
      <c r="A291" s="1" t="s">
        <v>19</v>
      </c>
      <c r="B291" s="1" t="s">
        <v>1233</v>
      </c>
      <c r="C291" s="1" t="s">
        <v>1234</v>
      </c>
      <c r="D291" s="1" t="s">
        <v>1340</v>
      </c>
      <c r="E291" s="1" t="s">
        <v>1294</v>
      </c>
      <c r="F291" s="1" t="s">
        <v>22</v>
      </c>
      <c r="G291" s="1" t="s">
        <v>23</v>
      </c>
      <c r="H291">
        <v>12030108</v>
      </c>
      <c r="I291" s="1" t="s">
        <v>1341</v>
      </c>
      <c r="J291">
        <v>65</v>
      </c>
      <c r="K291">
        <v>65</v>
      </c>
      <c r="L291" s="1" t="s">
        <v>1232</v>
      </c>
      <c r="M291" s="1" t="s">
        <v>1292</v>
      </c>
      <c r="N291">
        <v>31.936</v>
      </c>
      <c r="O291">
        <v>-96.354699999999994</v>
      </c>
      <c r="P291" s="1" t="s">
        <v>25</v>
      </c>
      <c r="Q291" s="1" t="s">
        <v>1594</v>
      </c>
      <c r="R291" s="1" t="s">
        <v>1296</v>
      </c>
      <c r="S291" s="2">
        <v>169.14400000000001</v>
      </c>
    </row>
    <row r="292" spans="1:19" x14ac:dyDescent="0.3">
      <c r="A292" s="1" t="s">
        <v>19</v>
      </c>
      <c r="B292" s="1" t="s">
        <v>90</v>
      </c>
      <c r="C292" s="1" t="s">
        <v>91</v>
      </c>
      <c r="D292" s="1" t="s">
        <v>116</v>
      </c>
      <c r="E292" s="1" t="s">
        <v>117</v>
      </c>
      <c r="F292" s="1" t="s">
        <v>61</v>
      </c>
      <c r="G292" s="1" t="s">
        <v>23</v>
      </c>
      <c r="H292">
        <v>18020116</v>
      </c>
      <c r="I292" s="1" t="s">
        <v>118</v>
      </c>
      <c r="J292">
        <v>65</v>
      </c>
      <c r="K292">
        <v>65</v>
      </c>
      <c r="L292" s="1" t="s">
        <v>87</v>
      </c>
      <c r="M292" s="1" t="s">
        <v>88</v>
      </c>
      <c r="N292">
        <v>39.011899999999997</v>
      </c>
      <c r="O292">
        <v>-122.76049999999999</v>
      </c>
      <c r="P292" s="1" t="s">
        <v>25</v>
      </c>
      <c r="Q292" s="1" t="s">
        <v>26</v>
      </c>
      <c r="R292" s="1" t="s">
        <v>89</v>
      </c>
      <c r="S292" s="2">
        <v>159.102</v>
      </c>
    </row>
    <row r="293" spans="1:19" x14ac:dyDescent="0.3">
      <c r="A293" s="1" t="s">
        <v>19</v>
      </c>
      <c r="B293" s="1" t="s">
        <v>1044</v>
      </c>
      <c r="C293" s="1" t="s">
        <v>1045</v>
      </c>
      <c r="D293" s="1" t="s">
        <v>1102</v>
      </c>
      <c r="E293" s="1" t="s">
        <v>1103</v>
      </c>
      <c r="F293" s="1" t="s">
        <v>22</v>
      </c>
      <c r="G293" s="1" t="s">
        <v>23</v>
      </c>
      <c r="H293">
        <v>3050111</v>
      </c>
      <c r="I293" s="1" t="s">
        <v>1104</v>
      </c>
      <c r="J293">
        <v>64</v>
      </c>
      <c r="K293">
        <v>64</v>
      </c>
      <c r="L293" s="1" t="s">
        <v>1043</v>
      </c>
      <c r="M293" s="1" t="s">
        <v>363</v>
      </c>
      <c r="N293">
        <v>33.607500000000002</v>
      </c>
      <c r="O293">
        <v>-80.548888899999994</v>
      </c>
      <c r="P293" s="1" t="s">
        <v>25</v>
      </c>
      <c r="Q293" s="1" t="s">
        <v>26</v>
      </c>
      <c r="R293" s="1" t="s">
        <v>180</v>
      </c>
      <c r="S293" s="2">
        <v>324.315</v>
      </c>
    </row>
    <row r="294" spans="1:19" x14ac:dyDescent="0.3">
      <c r="A294" s="1" t="s">
        <v>19</v>
      </c>
      <c r="B294" s="1" t="s">
        <v>1044</v>
      </c>
      <c r="C294" s="1" t="s">
        <v>1045</v>
      </c>
      <c r="D294" s="1" t="s">
        <v>1111</v>
      </c>
      <c r="E294" s="1" t="s">
        <v>1112</v>
      </c>
      <c r="F294" s="1" t="s">
        <v>22</v>
      </c>
      <c r="G294" s="1" t="s">
        <v>23</v>
      </c>
      <c r="H294">
        <v>3050111</v>
      </c>
      <c r="I294" s="1" t="s">
        <v>1113</v>
      </c>
      <c r="J294">
        <v>64</v>
      </c>
      <c r="K294">
        <v>64</v>
      </c>
      <c r="L294" s="1" t="s">
        <v>1043</v>
      </c>
      <c r="M294" s="1" t="s">
        <v>1056</v>
      </c>
      <c r="N294">
        <v>33.476111099999997</v>
      </c>
      <c r="O294">
        <v>-80.36</v>
      </c>
      <c r="P294" s="1" t="s">
        <v>25</v>
      </c>
      <c r="Q294" s="1" t="s">
        <v>26</v>
      </c>
      <c r="R294" s="1" t="s">
        <v>180</v>
      </c>
      <c r="S294" s="2">
        <v>324.315</v>
      </c>
    </row>
    <row r="295" spans="1:19" x14ac:dyDescent="0.3">
      <c r="A295" s="1" t="s">
        <v>62</v>
      </c>
      <c r="B295" s="1" t="s">
        <v>718</v>
      </c>
      <c r="C295" s="1" t="s">
        <v>719</v>
      </c>
      <c r="D295" s="1" t="s">
        <v>729</v>
      </c>
      <c r="E295" s="1" t="s">
        <v>730</v>
      </c>
      <c r="F295" s="1" t="s">
        <v>23</v>
      </c>
      <c r="G295" s="1" t="s">
        <v>23</v>
      </c>
      <c r="H295">
        <v>15010005</v>
      </c>
      <c r="I295" s="1" t="s">
        <v>731</v>
      </c>
      <c r="J295">
        <v>63</v>
      </c>
      <c r="K295">
        <v>63</v>
      </c>
      <c r="L295" s="1" t="s">
        <v>723</v>
      </c>
      <c r="M295" s="1" t="s">
        <v>724</v>
      </c>
      <c r="N295">
        <v>36.1501667</v>
      </c>
      <c r="O295">
        <v>-114.5361389</v>
      </c>
      <c r="P295" s="1" t="s">
        <v>25</v>
      </c>
      <c r="Q295" s="1" t="s">
        <v>26</v>
      </c>
      <c r="R295" s="1" t="s">
        <v>725</v>
      </c>
      <c r="S295" s="2">
        <v>595.22400000000005</v>
      </c>
    </row>
    <row r="296" spans="1:19" x14ac:dyDescent="0.3">
      <c r="A296" s="1" t="s">
        <v>62</v>
      </c>
      <c r="B296" s="1" t="s">
        <v>82</v>
      </c>
      <c r="C296" s="1" t="s">
        <v>83</v>
      </c>
      <c r="D296" s="1" t="s">
        <v>84</v>
      </c>
      <c r="E296" s="1" t="s">
        <v>85</v>
      </c>
      <c r="F296" s="1" t="s">
        <v>23</v>
      </c>
      <c r="G296" s="1" t="s">
        <v>23</v>
      </c>
      <c r="H296">
        <v>18020116</v>
      </c>
      <c r="I296" s="1" t="s">
        <v>86</v>
      </c>
      <c r="J296">
        <v>38</v>
      </c>
      <c r="K296">
        <v>63</v>
      </c>
      <c r="L296" s="1" t="s">
        <v>87</v>
      </c>
      <c r="M296" s="1" t="s">
        <v>88</v>
      </c>
      <c r="N296">
        <v>39.012694400000001</v>
      </c>
      <c r="O296">
        <v>-122.698986</v>
      </c>
      <c r="P296" s="1" t="s">
        <v>25</v>
      </c>
      <c r="Q296" s="1" t="s">
        <v>26</v>
      </c>
      <c r="R296" s="1" t="s">
        <v>89</v>
      </c>
      <c r="S296" s="2">
        <v>159.102</v>
      </c>
    </row>
    <row r="297" spans="1:19" x14ac:dyDescent="0.3">
      <c r="A297" s="1" t="s">
        <v>19</v>
      </c>
      <c r="B297" s="1" t="s">
        <v>643</v>
      </c>
      <c r="C297" s="1" t="s">
        <v>644</v>
      </c>
      <c r="D297" s="1" t="s">
        <v>645</v>
      </c>
      <c r="E297" s="1" t="s">
        <v>646</v>
      </c>
      <c r="F297" s="1" t="s">
        <v>61</v>
      </c>
      <c r="G297" s="1" t="s">
        <v>23</v>
      </c>
      <c r="H297">
        <v>9020302</v>
      </c>
      <c r="I297" s="1" t="s">
        <v>647</v>
      </c>
      <c r="J297">
        <v>56</v>
      </c>
      <c r="K297">
        <v>62</v>
      </c>
      <c r="L297" s="1" t="s">
        <v>582</v>
      </c>
      <c r="M297" s="1" t="s">
        <v>648</v>
      </c>
      <c r="N297">
        <v>47.958624899999997</v>
      </c>
      <c r="O297">
        <v>-95.018341800000002</v>
      </c>
      <c r="P297" s="1" t="s">
        <v>25</v>
      </c>
      <c r="Q297" s="1" t="s">
        <v>26</v>
      </c>
      <c r="R297" s="1" t="s">
        <v>649</v>
      </c>
      <c r="S297" s="2">
        <v>663.31200000000001</v>
      </c>
    </row>
    <row r="298" spans="1:19" x14ac:dyDescent="0.3">
      <c r="A298" s="1" t="s">
        <v>19</v>
      </c>
      <c r="B298" s="1" t="s">
        <v>1233</v>
      </c>
      <c r="C298" s="1" t="s">
        <v>1234</v>
      </c>
      <c r="D298" s="1" t="s">
        <v>1280</v>
      </c>
      <c r="E298" s="1" t="s">
        <v>1281</v>
      </c>
      <c r="F298" s="1" t="s">
        <v>22</v>
      </c>
      <c r="G298" s="1" t="s">
        <v>23</v>
      </c>
      <c r="H298">
        <v>12020005</v>
      </c>
      <c r="I298" s="1" t="s">
        <v>1282</v>
      </c>
      <c r="J298">
        <v>62</v>
      </c>
      <c r="K298">
        <v>62</v>
      </c>
      <c r="L298" s="1" t="s">
        <v>1232</v>
      </c>
      <c r="M298" s="1" t="s">
        <v>1283</v>
      </c>
      <c r="N298">
        <v>31.4391</v>
      </c>
      <c r="O298">
        <v>-94.627099999999999</v>
      </c>
      <c r="P298" s="1" t="s">
        <v>25</v>
      </c>
      <c r="Q298" s="1" t="s">
        <v>1594</v>
      </c>
      <c r="R298" s="1" t="s">
        <v>1273</v>
      </c>
      <c r="S298" s="2">
        <v>439.49200000000002</v>
      </c>
    </row>
    <row r="299" spans="1:19" x14ac:dyDescent="0.3">
      <c r="A299" s="1" t="s">
        <v>19</v>
      </c>
      <c r="B299" s="1" t="s">
        <v>1123</v>
      </c>
      <c r="C299" s="1" t="s">
        <v>1045</v>
      </c>
      <c r="D299" s="1" t="s">
        <v>1124</v>
      </c>
      <c r="E299" s="1" t="s">
        <v>1047</v>
      </c>
      <c r="F299" s="1" t="s">
        <v>61</v>
      </c>
      <c r="G299" s="1" t="s">
        <v>23</v>
      </c>
      <c r="H299">
        <v>3050111</v>
      </c>
      <c r="I299" s="1" t="s">
        <v>1125</v>
      </c>
      <c r="J299">
        <v>62</v>
      </c>
      <c r="K299">
        <v>62</v>
      </c>
      <c r="L299" s="1" t="s">
        <v>1043</v>
      </c>
      <c r="M299" s="1" t="s">
        <v>1049</v>
      </c>
      <c r="N299">
        <v>33.661479999999997</v>
      </c>
      <c r="O299">
        <v>-80.52149</v>
      </c>
      <c r="P299" s="1" t="s">
        <v>25</v>
      </c>
      <c r="Q299" s="1" t="s">
        <v>26</v>
      </c>
      <c r="R299" s="1" t="s">
        <v>180</v>
      </c>
      <c r="S299" s="2">
        <v>324.315</v>
      </c>
    </row>
    <row r="300" spans="1:19" x14ac:dyDescent="0.3">
      <c r="A300" s="1" t="s">
        <v>19</v>
      </c>
      <c r="B300" s="1" t="s">
        <v>20</v>
      </c>
      <c r="C300" s="1" t="s">
        <v>21</v>
      </c>
      <c r="D300" s="1" t="s">
        <v>324</v>
      </c>
      <c r="E300" s="1" t="s">
        <v>325</v>
      </c>
      <c r="F300" s="1" t="s">
        <v>22</v>
      </c>
      <c r="G300" s="1" t="s">
        <v>23</v>
      </c>
      <c r="H300">
        <v>3130003</v>
      </c>
      <c r="I300" s="1" t="s">
        <v>326</v>
      </c>
      <c r="J300">
        <v>62</v>
      </c>
      <c r="K300">
        <v>62</v>
      </c>
      <c r="L300" s="1" t="s">
        <v>322</v>
      </c>
      <c r="M300" s="1" t="s">
        <v>327</v>
      </c>
      <c r="N300">
        <v>32.081785000000004</v>
      </c>
      <c r="O300">
        <v>-85.051610999999994</v>
      </c>
      <c r="P300" s="1" t="s">
        <v>25</v>
      </c>
      <c r="Q300" s="1" t="s">
        <v>1594</v>
      </c>
      <c r="R300" s="1" t="s">
        <v>323</v>
      </c>
      <c r="S300" s="2">
        <v>134.92699999999999</v>
      </c>
    </row>
    <row r="301" spans="1:19" x14ac:dyDescent="0.3">
      <c r="A301" s="1" t="s">
        <v>19</v>
      </c>
      <c r="B301" s="1" t="s">
        <v>1233</v>
      </c>
      <c r="C301" s="1" t="s">
        <v>1234</v>
      </c>
      <c r="D301" s="1" t="s">
        <v>1320</v>
      </c>
      <c r="E301" s="1" t="s">
        <v>1321</v>
      </c>
      <c r="F301" s="1" t="s">
        <v>22</v>
      </c>
      <c r="G301" s="1" t="s">
        <v>23</v>
      </c>
      <c r="H301">
        <v>11140302</v>
      </c>
      <c r="I301" s="1" t="s">
        <v>1322</v>
      </c>
      <c r="J301">
        <v>62</v>
      </c>
      <c r="K301">
        <v>62</v>
      </c>
      <c r="L301" s="1" t="s">
        <v>1232</v>
      </c>
      <c r="M301" s="1" t="s">
        <v>430</v>
      </c>
      <c r="N301">
        <v>33.311300000000003</v>
      </c>
      <c r="O301">
        <v>-94.165899999999993</v>
      </c>
      <c r="P301" s="1" t="s">
        <v>25</v>
      </c>
      <c r="Q301" s="1" t="s">
        <v>26</v>
      </c>
      <c r="R301" s="1" t="s">
        <v>1246</v>
      </c>
      <c r="S301" s="2">
        <v>115.259</v>
      </c>
    </row>
    <row r="302" spans="1:19" x14ac:dyDescent="0.3">
      <c r="A302" s="1" t="s">
        <v>62</v>
      </c>
      <c r="B302" s="1" t="s">
        <v>380</v>
      </c>
      <c r="C302" s="1" t="s">
        <v>381</v>
      </c>
      <c r="D302" s="1" t="s">
        <v>388</v>
      </c>
      <c r="E302" s="1" t="s">
        <v>389</v>
      </c>
      <c r="F302" s="1" t="s">
        <v>23</v>
      </c>
      <c r="G302" s="1" t="s">
        <v>23</v>
      </c>
      <c r="H302">
        <v>8090202</v>
      </c>
      <c r="I302" s="1" t="s">
        <v>390</v>
      </c>
      <c r="J302">
        <v>61</v>
      </c>
      <c r="K302">
        <v>61</v>
      </c>
      <c r="L302" s="1" t="s">
        <v>385</v>
      </c>
      <c r="M302" s="1" t="s">
        <v>391</v>
      </c>
      <c r="N302">
        <v>30.180752699999999</v>
      </c>
      <c r="O302">
        <v>-89.854509899999996</v>
      </c>
      <c r="P302" s="1" t="s">
        <v>25</v>
      </c>
      <c r="Q302" s="1" t="s">
        <v>26</v>
      </c>
      <c r="R302" s="1" t="s">
        <v>387</v>
      </c>
      <c r="S302" s="2">
        <v>1639.9</v>
      </c>
    </row>
    <row r="303" spans="1:19" x14ac:dyDescent="0.3">
      <c r="A303" s="1" t="s">
        <v>19</v>
      </c>
      <c r="B303" s="1" t="s">
        <v>1233</v>
      </c>
      <c r="C303" s="1" t="s">
        <v>1234</v>
      </c>
      <c r="D303" s="1" t="s">
        <v>1278</v>
      </c>
      <c r="E303" s="1" t="s">
        <v>1275</v>
      </c>
      <c r="F303" s="1" t="s">
        <v>22</v>
      </c>
      <c r="G303" s="1" t="s">
        <v>23</v>
      </c>
      <c r="H303">
        <v>12020005</v>
      </c>
      <c r="I303" s="1" t="s">
        <v>1279</v>
      </c>
      <c r="J303">
        <v>61</v>
      </c>
      <c r="K303">
        <v>61</v>
      </c>
      <c r="L303" s="1" t="s">
        <v>1232</v>
      </c>
      <c r="M303" s="1" t="s">
        <v>1272</v>
      </c>
      <c r="N303">
        <v>31.383299999999998</v>
      </c>
      <c r="O303">
        <v>-94.322900000000004</v>
      </c>
      <c r="P303" s="1" t="s">
        <v>25</v>
      </c>
      <c r="Q303" s="1" t="s">
        <v>1594</v>
      </c>
      <c r="R303" s="1" t="s">
        <v>1273</v>
      </c>
      <c r="S303" s="2">
        <v>439.49200000000002</v>
      </c>
    </row>
    <row r="304" spans="1:19" x14ac:dyDescent="0.3">
      <c r="A304" s="1" t="s">
        <v>19</v>
      </c>
      <c r="B304" s="1" t="s">
        <v>1233</v>
      </c>
      <c r="C304" s="1" t="s">
        <v>1234</v>
      </c>
      <c r="D304" s="1" t="s">
        <v>1326</v>
      </c>
      <c r="E304" s="1" t="s">
        <v>1327</v>
      </c>
      <c r="F304" s="1" t="s">
        <v>22</v>
      </c>
      <c r="G304" s="1" t="s">
        <v>23</v>
      </c>
      <c r="H304">
        <v>12020005</v>
      </c>
      <c r="I304" s="1" t="s">
        <v>1328</v>
      </c>
      <c r="J304">
        <v>61</v>
      </c>
      <c r="K304">
        <v>61</v>
      </c>
      <c r="L304" s="1" t="s">
        <v>1232</v>
      </c>
      <c r="M304" s="1" t="s">
        <v>365</v>
      </c>
      <c r="N304">
        <v>31.069400000000002</v>
      </c>
      <c r="O304">
        <v>-94.106099999999998</v>
      </c>
      <c r="P304" s="1" t="s">
        <v>25</v>
      </c>
      <c r="Q304" s="1" t="s">
        <v>1594</v>
      </c>
      <c r="R304" s="1" t="s">
        <v>1273</v>
      </c>
      <c r="S304" s="2">
        <v>439.49200000000002</v>
      </c>
    </row>
    <row r="305" spans="1:19" x14ac:dyDescent="0.3">
      <c r="A305" s="1" t="s">
        <v>19</v>
      </c>
      <c r="B305" s="1" t="s">
        <v>90</v>
      </c>
      <c r="C305" s="1" t="s">
        <v>91</v>
      </c>
      <c r="D305" s="1" t="s">
        <v>104</v>
      </c>
      <c r="E305" s="1" t="s">
        <v>105</v>
      </c>
      <c r="F305" s="1" t="s">
        <v>61</v>
      </c>
      <c r="G305" s="1" t="s">
        <v>23</v>
      </c>
      <c r="H305">
        <v>18020116</v>
      </c>
      <c r="I305" s="1" t="s">
        <v>106</v>
      </c>
      <c r="J305">
        <v>61</v>
      </c>
      <c r="K305">
        <v>61</v>
      </c>
      <c r="L305" s="1" t="s">
        <v>87</v>
      </c>
      <c r="M305" s="1" t="s">
        <v>88</v>
      </c>
      <c r="N305">
        <v>38.964300000000001</v>
      </c>
      <c r="O305">
        <v>-122.679</v>
      </c>
      <c r="P305" s="1" t="s">
        <v>25</v>
      </c>
      <c r="Q305" s="1" t="s">
        <v>26</v>
      </c>
      <c r="R305" s="1" t="s">
        <v>89</v>
      </c>
      <c r="S305" s="2">
        <v>159.102</v>
      </c>
    </row>
    <row r="306" spans="1:19" x14ac:dyDescent="0.3">
      <c r="A306" s="1" t="s">
        <v>19</v>
      </c>
      <c r="B306" s="1" t="s">
        <v>20</v>
      </c>
      <c r="C306" s="1" t="s">
        <v>21</v>
      </c>
      <c r="D306" s="1" t="s">
        <v>319</v>
      </c>
      <c r="E306" s="1" t="s">
        <v>320</v>
      </c>
      <c r="F306" s="1" t="s">
        <v>22</v>
      </c>
      <c r="G306" s="1" t="s">
        <v>23</v>
      </c>
      <c r="H306">
        <v>3130003</v>
      </c>
      <c r="I306" s="1" t="s">
        <v>321</v>
      </c>
      <c r="J306">
        <v>61</v>
      </c>
      <c r="K306">
        <v>61</v>
      </c>
      <c r="L306" s="1" t="s">
        <v>322</v>
      </c>
      <c r="M306" s="1" t="s">
        <v>144</v>
      </c>
      <c r="N306">
        <v>31.656998000000002</v>
      </c>
      <c r="O306">
        <v>-85.082905999999994</v>
      </c>
      <c r="P306" s="1" t="s">
        <v>25</v>
      </c>
      <c r="Q306" s="1" t="s">
        <v>1594</v>
      </c>
      <c r="R306" s="1" t="s">
        <v>323</v>
      </c>
      <c r="S306" s="2">
        <v>134.92699999999999</v>
      </c>
    </row>
    <row r="307" spans="1:19" x14ac:dyDescent="0.3">
      <c r="A307" s="1" t="s">
        <v>19</v>
      </c>
      <c r="B307" s="1" t="s">
        <v>20</v>
      </c>
      <c r="C307" s="1" t="s">
        <v>21</v>
      </c>
      <c r="D307" s="1" t="s">
        <v>328</v>
      </c>
      <c r="E307" s="1" t="s">
        <v>329</v>
      </c>
      <c r="F307" s="1" t="s">
        <v>22</v>
      </c>
      <c r="G307" s="1" t="s">
        <v>23</v>
      </c>
      <c r="H307">
        <v>3130003</v>
      </c>
      <c r="I307" s="1" t="s">
        <v>330</v>
      </c>
      <c r="J307">
        <v>61</v>
      </c>
      <c r="K307">
        <v>61</v>
      </c>
      <c r="L307" s="1" t="s">
        <v>322</v>
      </c>
      <c r="M307" s="1" t="s">
        <v>331</v>
      </c>
      <c r="N307">
        <v>31.892932999999999</v>
      </c>
      <c r="O307">
        <v>-85.119619999999998</v>
      </c>
      <c r="P307" s="1" t="s">
        <v>25</v>
      </c>
      <c r="Q307" s="1" t="s">
        <v>1594</v>
      </c>
      <c r="R307" s="1" t="s">
        <v>323</v>
      </c>
      <c r="S307" s="2">
        <v>134.92699999999999</v>
      </c>
    </row>
    <row r="308" spans="1:19" x14ac:dyDescent="0.3">
      <c r="A308" s="1" t="s">
        <v>19</v>
      </c>
      <c r="B308" s="1" t="s">
        <v>643</v>
      </c>
      <c r="C308" s="1" t="s">
        <v>644</v>
      </c>
      <c r="D308" s="1" t="s">
        <v>656</v>
      </c>
      <c r="E308" s="1" t="s">
        <v>657</v>
      </c>
      <c r="F308" s="1" t="s">
        <v>61</v>
      </c>
      <c r="G308" s="1" t="s">
        <v>23</v>
      </c>
      <c r="H308">
        <v>9020302</v>
      </c>
      <c r="I308" s="1" t="s">
        <v>658</v>
      </c>
      <c r="J308">
        <v>56</v>
      </c>
      <c r="K308">
        <v>59</v>
      </c>
      <c r="L308" s="1" t="s">
        <v>582</v>
      </c>
      <c r="M308" s="1" t="s">
        <v>648</v>
      </c>
      <c r="N308">
        <v>47.958624899999997</v>
      </c>
      <c r="O308">
        <v>-95.1461252</v>
      </c>
      <c r="P308" s="1" t="s">
        <v>25</v>
      </c>
      <c r="Q308" s="1" t="s">
        <v>26</v>
      </c>
      <c r="R308" s="1" t="s">
        <v>649</v>
      </c>
      <c r="S308" s="2">
        <v>663.31200000000001</v>
      </c>
    </row>
    <row r="309" spans="1:19" x14ac:dyDescent="0.3">
      <c r="A309" s="1" t="s">
        <v>19</v>
      </c>
      <c r="B309" s="1" t="s">
        <v>1044</v>
      </c>
      <c r="C309" s="1" t="s">
        <v>1045</v>
      </c>
      <c r="D309" s="1" t="s">
        <v>1077</v>
      </c>
      <c r="E309" s="1" t="s">
        <v>1078</v>
      </c>
      <c r="F309" s="1" t="s">
        <v>22</v>
      </c>
      <c r="G309" s="1" t="s">
        <v>23</v>
      </c>
      <c r="H309">
        <v>3050111</v>
      </c>
      <c r="I309" s="1" t="s">
        <v>1079</v>
      </c>
      <c r="J309">
        <v>59</v>
      </c>
      <c r="K309">
        <v>59</v>
      </c>
      <c r="L309" s="1" t="s">
        <v>1043</v>
      </c>
      <c r="M309" s="1" t="s">
        <v>1056</v>
      </c>
      <c r="N309">
        <v>33.557222199999998</v>
      </c>
      <c r="O309">
        <v>-80.214722199999997</v>
      </c>
      <c r="P309" s="1" t="s">
        <v>25</v>
      </c>
      <c r="Q309" s="1" t="s">
        <v>26</v>
      </c>
      <c r="R309" s="1" t="s">
        <v>180</v>
      </c>
      <c r="S309" s="2">
        <v>324.315</v>
      </c>
    </row>
    <row r="310" spans="1:19" x14ac:dyDescent="0.3">
      <c r="A310" s="1" t="s">
        <v>19</v>
      </c>
      <c r="B310" s="1" t="s">
        <v>439</v>
      </c>
      <c r="C310" s="1" t="s">
        <v>440</v>
      </c>
      <c r="D310" s="1" t="s">
        <v>447</v>
      </c>
      <c r="E310" s="1" t="s">
        <v>448</v>
      </c>
      <c r="F310" s="1" t="s">
        <v>61</v>
      </c>
      <c r="G310" s="1" t="s">
        <v>23</v>
      </c>
      <c r="H310">
        <v>4080300</v>
      </c>
      <c r="I310" s="1" t="s">
        <v>449</v>
      </c>
      <c r="J310">
        <v>58</v>
      </c>
      <c r="K310">
        <v>58</v>
      </c>
      <c r="L310" s="1" t="s">
        <v>402</v>
      </c>
      <c r="M310" s="1" t="s">
        <v>403</v>
      </c>
      <c r="N310">
        <v>43.941670000000002</v>
      </c>
      <c r="O310">
        <v>-83.623891999999998</v>
      </c>
      <c r="P310" s="1" t="s">
        <v>25</v>
      </c>
      <c r="Q310" s="1" t="s">
        <v>26</v>
      </c>
      <c r="R310" s="1" t="s">
        <v>404</v>
      </c>
      <c r="S310" s="2">
        <v>2976.93</v>
      </c>
    </row>
    <row r="311" spans="1:19" x14ac:dyDescent="0.3">
      <c r="A311" s="1" t="s">
        <v>19</v>
      </c>
      <c r="B311" s="1" t="s">
        <v>1123</v>
      </c>
      <c r="C311" s="1" t="s">
        <v>1045</v>
      </c>
      <c r="D311" s="1" t="s">
        <v>1126</v>
      </c>
      <c r="E311" s="1" t="s">
        <v>1127</v>
      </c>
      <c r="F311" s="1" t="s">
        <v>61</v>
      </c>
      <c r="G311" s="1" t="s">
        <v>23</v>
      </c>
      <c r="H311">
        <v>3050111</v>
      </c>
      <c r="I311" s="1" t="s">
        <v>1128</v>
      </c>
      <c r="J311">
        <v>58</v>
      </c>
      <c r="K311">
        <v>58</v>
      </c>
      <c r="L311" s="1" t="s">
        <v>1043</v>
      </c>
      <c r="M311" s="1" t="s">
        <v>1072</v>
      </c>
      <c r="N311">
        <v>33.556719999999999</v>
      </c>
      <c r="O311">
        <v>-80.492450000000005</v>
      </c>
      <c r="P311" s="1" t="s">
        <v>25</v>
      </c>
      <c r="Q311" s="1" t="s">
        <v>26</v>
      </c>
      <c r="R311" s="1" t="s">
        <v>180</v>
      </c>
      <c r="S311" s="2">
        <v>324.315</v>
      </c>
    </row>
    <row r="312" spans="1:19" x14ac:dyDescent="0.3">
      <c r="A312" s="1" t="s">
        <v>19</v>
      </c>
      <c r="B312" s="1" t="s">
        <v>1123</v>
      </c>
      <c r="C312" s="1" t="s">
        <v>1045</v>
      </c>
      <c r="D312" s="1" t="s">
        <v>1132</v>
      </c>
      <c r="E312" s="1" t="s">
        <v>1133</v>
      </c>
      <c r="F312" s="1" t="s">
        <v>61</v>
      </c>
      <c r="G312" s="1" t="s">
        <v>23</v>
      </c>
      <c r="H312">
        <v>3050111</v>
      </c>
      <c r="I312" s="1" t="s">
        <v>1134</v>
      </c>
      <c r="J312">
        <v>58</v>
      </c>
      <c r="K312">
        <v>58</v>
      </c>
      <c r="L312" s="1" t="s">
        <v>1043</v>
      </c>
      <c r="M312" s="1" t="s">
        <v>1056</v>
      </c>
      <c r="N312">
        <v>33.50311</v>
      </c>
      <c r="O312">
        <v>-80.459320000000005</v>
      </c>
      <c r="P312" s="1" t="s">
        <v>25</v>
      </c>
      <c r="Q312" s="1" t="s">
        <v>26</v>
      </c>
      <c r="R312" s="1" t="s">
        <v>180</v>
      </c>
      <c r="S312" s="2">
        <v>324.315</v>
      </c>
    </row>
    <row r="313" spans="1:19" x14ac:dyDescent="0.3">
      <c r="A313" s="1" t="s">
        <v>19</v>
      </c>
      <c r="B313" s="1" t="s">
        <v>334</v>
      </c>
      <c r="C313" s="1" t="s">
        <v>335</v>
      </c>
      <c r="D313" s="1" t="s">
        <v>341</v>
      </c>
      <c r="E313" s="1" t="s">
        <v>342</v>
      </c>
      <c r="F313" s="1" t="s">
        <v>22</v>
      </c>
      <c r="G313" s="1" t="s">
        <v>23</v>
      </c>
      <c r="H313">
        <v>17040206</v>
      </c>
      <c r="I313" s="1" t="s">
        <v>343</v>
      </c>
      <c r="J313">
        <v>58</v>
      </c>
      <c r="K313">
        <v>58</v>
      </c>
      <c r="L313" s="1" t="s">
        <v>332</v>
      </c>
      <c r="M313" s="1" t="s">
        <v>339</v>
      </c>
      <c r="N313">
        <v>42.843089999999997</v>
      </c>
      <c r="O313">
        <v>-112.82625</v>
      </c>
      <c r="P313" s="1" t="s">
        <v>25</v>
      </c>
      <c r="Q313" s="1" t="s">
        <v>1594</v>
      </c>
      <c r="R313" s="1" t="s">
        <v>340</v>
      </c>
      <c r="S313" s="2">
        <v>221.44399999999999</v>
      </c>
    </row>
    <row r="314" spans="1:19" x14ac:dyDescent="0.3">
      <c r="A314" s="1" t="s">
        <v>19</v>
      </c>
      <c r="B314" s="1" t="s">
        <v>692</v>
      </c>
      <c r="C314" s="1" t="s">
        <v>693</v>
      </c>
      <c r="D314" s="1" t="s">
        <v>1201</v>
      </c>
      <c r="E314" s="1" t="s">
        <v>1202</v>
      </c>
      <c r="F314" s="1" t="s">
        <v>22</v>
      </c>
      <c r="G314" s="1" t="s">
        <v>23</v>
      </c>
      <c r="H314">
        <v>10140101</v>
      </c>
      <c r="I314" s="1" t="s">
        <v>1203</v>
      </c>
      <c r="J314">
        <v>57</v>
      </c>
      <c r="K314">
        <v>57</v>
      </c>
      <c r="L314" s="1" t="s">
        <v>1182</v>
      </c>
      <c r="M314" s="1" t="s">
        <v>1204</v>
      </c>
      <c r="N314">
        <v>43.565219999999997</v>
      </c>
      <c r="O314">
        <v>-99.327060000000003</v>
      </c>
      <c r="P314" s="1" t="s">
        <v>25</v>
      </c>
      <c r="Q314" s="1" t="s">
        <v>26</v>
      </c>
      <c r="R314" s="1" t="s">
        <v>1196</v>
      </c>
      <c r="S314" s="2">
        <v>331.62299999999999</v>
      </c>
    </row>
    <row r="315" spans="1:19" x14ac:dyDescent="0.3">
      <c r="A315" s="1" t="s">
        <v>19</v>
      </c>
      <c r="B315" s="1" t="s">
        <v>1123</v>
      </c>
      <c r="C315" s="1" t="s">
        <v>1045</v>
      </c>
      <c r="D315" s="1" t="s">
        <v>1135</v>
      </c>
      <c r="E315" s="1" t="s">
        <v>1136</v>
      </c>
      <c r="F315" s="1" t="s">
        <v>61</v>
      </c>
      <c r="G315" s="1" t="s">
        <v>23</v>
      </c>
      <c r="H315">
        <v>3050111</v>
      </c>
      <c r="I315" s="1" t="s">
        <v>1137</v>
      </c>
      <c r="J315">
        <v>57</v>
      </c>
      <c r="K315">
        <v>57</v>
      </c>
      <c r="L315" s="1" t="s">
        <v>1043</v>
      </c>
      <c r="M315" s="1" t="s">
        <v>1056</v>
      </c>
      <c r="N315">
        <v>33.43974</v>
      </c>
      <c r="O315">
        <v>-80.328370000000007</v>
      </c>
      <c r="P315" s="1" t="s">
        <v>25</v>
      </c>
      <c r="Q315" s="1" t="s">
        <v>26</v>
      </c>
      <c r="R315" s="1" t="s">
        <v>180</v>
      </c>
      <c r="S315" s="2">
        <v>324.315</v>
      </c>
    </row>
    <row r="316" spans="1:19" x14ac:dyDescent="0.3">
      <c r="A316" s="1" t="s">
        <v>19</v>
      </c>
      <c r="B316" s="1" t="s">
        <v>1123</v>
      </c>
      <c r="C316" s="1" t="s">
        <v>1045</v>
      </c>
      <c r="D316" s="1" t="s">
        <v>1144</v>
      </c>
      <c r="E316" s="1" t="s">
        <v>1145</v>
      </c>
      <c r="F316" s="1" t="s">
        <v>61</v>
      </c>
      <c r="G316" s="1" t="s">
        <v>23</v>
      </c>
      <c r="H316">
        <v>3050111</v>
      </c>
      <c r="I316" s="1" t="s">
        <v>1146</v>
      </c>
      <c r="J316">
        <v>57</v>
      </c>
      <c r="K316">
        <v>57</v>
      </c>
      <c r="L316" s="1" t="s">
        <v>1043</v>
      </c>
      <c r="M316" s="1" t="s">
        <v>1076</v>
      </c>
      <c r="N316">
        <v>33.426929999999999</v>
      </c>
      <c r="O316">
        <v>-80.223680000000002</v>
      </c>
      <c r="P316" s="1" t="s">
        <v>25</v>
      </c>
      <c r="Q316" s="1" t="s">
        <v>26</v>
      </c>
      <c r="R316" s="1" t="s">
        <v>180</v>
      </c>
      <c r="S316" s="2">
        <v>324.315</v>
      </c>
    </row>
    <row r="317" spans="1:19" x14ac:dyDescent="0.3">
      <c r="A317" s="1" t="s">
        <v>19</v>
      </c>
      <c r="B317" s="1" t="s">
        <v>1123</v>
      </c>
      <c r="C317" s="1" t="s">
        <v>1045</v>
      </c>
      <c r="D317" s="1" t="s">
        <v>1156</v>
      </c>
      <c r="E317" s="1" t="s">
        <v>1157</v>
      </c>
      <c r="F317" s="1" t="s">
        <v>61</v>
      </c>
      <c r="G317" s="1" t="s">
        <v>23</v>
      </c>
      <c r="H317">
        <v>3050201</v>
      </c>
      <c r="I317" s="1" t="s">
        <v>1158</v>
      </c>
      <c r="J317">
        <v>57</v>
      </c>
      <c r="K317">
        <v>57</v>
      </c>
      <c r="L317" s="1" t="s">
        <v>1043</v>
      </c>
      <c r="M317" s="1" t="s">
        <v>1076</v>
      </c>
      <c r="N317">
        <v>33.369770000000003</v>
      </c>
      <c r="O317">
        <v>-80.081530000000001</v>
      </c>
      <c r="P317" s="1" t="s">
        <v>25</v>
      </c>
      <c r="Q317" s="1" t="s">
        <v>26</v>
      </c>
      <c r="R317" s="1" t="s">
        <v>1083</v>
      </c>
      <c r="S317" s="2">
        <v>233.22800000000001</v>
      </c>
    </row>
    <row r="318" spans="1:19" x14ac:dyDescent="0.3">
      <c r="A318" s="1" t="s">
        <v>19</v>
      </c>
      <c r="B318" s="1" t="s">
        <v>1233</v>
      </c>
      <c r="C318" s="1" t="s">
        <v>1234</v>
      </c>
      <c r="D318" s="1" t="s">
        <v>1342</v>
      </c>
      <c r="E318" s="1" t="s">
        <v>1294</v>
      </c>
      <c r="F318" s="1" t="s">
        <v>22</v>
      </c>
      <c r="G318" s="1" t="s">
        <v>23</v>
      </c>
      <c r="H318">
        <v>12030109</v>
      </c>
      <c r="I318" s="1" t="s">
        <v>1343</v>
      </c>
      <c r="J318">
        <v>57</v>
      </c>
      <c r="K318">
        <v>57</v>
      </c>
      <c r="L318" s="1" t="s">
        <v>1232</v>
      </c>
      <c r="M318" s="1" t="s">
        <v>1292</v>
      </c>
      <c r="N318">
        <v>32.077500000000001</v>
      </c>
      <c r="O318">
        <v>-96.340699999999998</v>
      </c>
      <c r="P318" s="1" t="s">
        <v>25</v>
      </c>
      <c r="Q318" s="1" t="s">
        <v>1594</v>
      </c>
      <c r="R318" s="1" t="s">
        <v>1296</v>
      </c>
      <c r="S318" s="2">
        <v>169.14400000000001</v>
      </c>
    </row>
    <row r="319" spans="1:19" x14ac:dyDescent="0.3">
      <c r="A319" s="1" t="s">
        <v>19</v>
      </c>
      <c r="B319" s="1" t="s">
        <v>1233</v>
      </c>
      <c r="C319" s="1" t="s">
        <v>1234</v>
      </c>
      <c r="D319" s="1" t="s">
        <v>1329</v>
      </c>
      <c r="E319" s="1" t="s">
        <v>1330</v>
      </c>
      <c r="F319" s="1" t="s">
        <v>22</v>
      </c>
      <c r="G319" s="1" t="s">
        <v>23</v>
      </c>
      <c r="H319">
        <v>11140302</v>
      </c>
      <c r="I319" s="1" t="s">
        <v>1331</v>
      </c>
      <c r="J319">
        <v>57</v>
      </c>
      <c r="K319">
        <v>57</v>
      </c>
      <c r="L319" s="1" t="s">
        <v>1232</v>
      </c>
      <c r="M319" s="1" t="s">
        <v>1332</v>
      </c>
      <c r="N319">
        <v>33.346400000000003</v>
      </c>
      <c r="O319">
        <v>-94.178399999999996</v>
      </c>
      <c r="P319" s="1" t="s">
        <v>25</v>
      </c>
      <c r="Q319" s="1" t="s">
        <v>26</v>
      </c>
      <c r="R319" s="1" t="s">
        <v>1246</v>
      </c>
      <c r="S319" s="2">
        <v>115.259</v>
      </c>
    </row>
    <row r="320" spans="1:19" x14ac:dyDescent="0.3">
      <c r="A320" s="1" t="s">
        <v>19</v>
      </c>
      <c r="B320" s="1" t="s">
        <v>749</v>
      </c>
      <c r="C320" s="1" t="s">
        <v>750</v>
      </c>
      <c r="D320" s="1" t="s">
        <v>751</v>
      </c>
      <c r="E320" s="1" t="s">
        <v>752</v>
      </c>
      <c r="F320" s="1" t="s">
        <v>61</v>
      </c>
      <c r="G320" s="1" t="s">
        <v>23</v>
      </c>
      <c r="H320">
        <v>16050304</v>
      </c>
      <c r="I320" s="1" t="s">
        <v>753</v>
      </c>
      <c r="J320">
        <v>56</v>
      </c>
      <c r="K320">
        <v>56</v>
      </c>
      <c r="L320" s="1" t="s">
        <v>723</v>
      </c>
      <c r="M320" s="1" t="s">
        <v>738</v>
      </c>
      <c r="N320">
        <v>38.650829299999998</v>
      </c>
      <c r="O320">
        <v>-118.71469879999999</v>
      </c>
      <c r="P320" s="1" t="s">
        <v>25</v>
      </c>
      <c r="Q320" s="1" t="s">
        <v>26</v>
      </c>
      <c r="R320" s="1" t="s">
        <v>739</v>
      </c>
      <c r="S320" s="2">
        <v>142.54</v>
      </c>
    </row>
    <row r="321" spans="1:19" x14ac:dyDescent="0.3">
      <c r="A321" s="1" t="s">
        <v>19</v>
      </c>
      <c r="B321" s="1" t="s">
        <v>1233</v>
      </c>
      <c r="C321" s="1" t="s">
        <v>1234</v>
      </c>
      <c r="D321" s="1" t="s">
        <v>1376</v>
      </c>
      <c r="E321" s="1" t="s">
        <v>1377</v>
      </c>
      <c r="F321" s="1" t="s">
        <v>22</v>
      </c>
      <c r="G321" s="1" t="s">
        <v>23</v>
      </c>
      <c r="H321">
        <v>12030107</v>
      </c>
      <c r="I321" s="1" t="s">
        <v>1378</v>
      </c>
      <c r="J321">
        <v>56</v>
      </c>
      <c r="K321">
        <v>56</v>
      </c>
      <c r="L321" s="1" t="s">
        <v>1232</v>
      </c>
      <c r="M321" s="1" t="s">
        <v>1379</v>
      </c>
      <c r="N321">
        <v>32.376899999999999</v>
      </c>
      <c r="O321">
        <v>-96.191100000000006</v>
      </c>
      <c r="P321" s="1" t="s">
        <v>25</v>
      </c>
      <c r="Q321" s="1" t="s">
        <v>1594</v>
      </c>
      <c r="R321" s="1" t="s">
        <v>1366</v>
      </c>
      <c r="S321" s="2">
        <v>127.657</v>
      </c>
    </row>
    <row r="322" spans="1:19" x14ac:dyDescent="0.3">
      <c r="A322" s="1" t="s">
        <v>19</v>
      </c>
      <c r="B322" s="1" t="s">
        <v>1123</v>
      </c>
      <c r="C322" s="1" t="s">
        <v>1045</v>
      </c>
      <c r="D322" s="1" t="s">
        <v>1171</v>
      </c>
      <c r="E322" s="1" t="s">
        <v>1172</v>
      </c>
      <c r="F322" s="1" t="s">
        <v>61</v>
      </c>
      <c r="G322" s="1" t="s">
        <v>23</v>
      </c>
      <c r="H322">
        <v>3050111</v>
      </c>
      <c r="I322" s="1" t="s">
        <v>1173</v>
      </c>
      <c r="J322">
        <v>55</v>
      </c>
      <c r="K322">
        <v>55</v>
      </c>
      <c r="L322" s="1" t="s">
        <v>1043</v>
      </c>
      <c r="M322" s="1" t="s">
        <v>1056</v>
      </c>
      <c r="N322">
        <v>33.641089999999998</v>
      </c>
      <c r="O322">
        <v>-80.512810000000002</v>
      </c>
      <c r="P322" s="1" t="s">
        <v>25</v>
      </c>
      <c r="Q322" s="1" t="s">
        <v>26</v>
      </c>
      <c r="R322" s="1" t="s">
        <v>180</v>
      </c>
      <c r="S322" s="2">
        <v>324.315</v>
      </c>
    </row>
    <row r="323" spans="1:19" x14ac:dyDescent="0.3">
      <c r="A323" s="1" t="s">
        <v>19</v>
      </c>
      <c r="B323" s="1" t="s">
        <v>334</v>
      </c>
      <c r="C323" s="1" t="s">
        <v>335</v>
      </c>
      <c r="D323" s="1" t="s">
        <v>344</v>
      </c>
      <c r="E323" s="1" t="s">
        <v>345</v>
      </c>
      <c r="F323" s="1" t="s">
        <v>22</v>
      </c>
      <c r="G323" s="1" t="s">
        <v>23</v>
      </c>
      <c r="H323">
        <v>17040208</v>
      </c>
      <c r="I323" s="1" t="s">
        <v>346</v>
      </c>
      <c r="J323">
        <v>55</v>
      </c>
      <c r="K323">
        <v>55</v>
      </c>
      <c r="L323" s="1" t="s">
        <v>332</v>
      </c>
      <c r="M323" s="1" t="s">
        <v>339</v>
      </c>
      <c r="N323">
        <v>42.934060000000002</v>
      </c>
      <c r="O323">
        <v>-112.74184</v>
      </c>
      <c r="P323" s="1" t="s">
        <v>25</v>
      </c>
      <c r="Q323" s="1" t="s">
        <v>1594</v>
      </c>
      <c r="R323" s="1" t="s">
        <v>340</v>
      </c>
      <c r="S323" s="2">
        <v>221.44399999999999</v>
      </c>
    </row>
    <row r="324" spans="1:19" x14ac:dyDescent="0.3">
      <c r="A324" s="1" t="s">
        <v>19</v>
      </c>
      <c r="B324" s="1" t="s">
        <v>692</v>
      </c>
      <c r="C324" s="1" t="s">
        <v>693</v>
      </c>
      <c r="D324" s="1" t="s">
        <v>892</v>
      </c>
      <c r="E324" s="1" t="s">
        <v>893</v>
      </c>
      <c r="F324" s="1" t="s">
        <v>22</v>
      </c>
      <c r="G324" s="1" t="s">
        <v>23</v>
      </c>
      <c r="H324">
        <v>10130102</v>
      </c>
      <c r="I324" s="1" t="s">
        <v>894</v>
      </c>
      <c r="J324">
        <v>54</v>
      </c>
      <c r="K324">
        <v>54</v>
      </c>
      <c r="L324" s="1" t="s">
        <v>816</v>
      </c>
      <c r="M324" s="1" t="s">
        <v>895</v>
      </c>
      <c r="N324">
        <v>46.250999999999998</v>
      </c>
      <c r="O324">
        <v>-100.5558</v>
      </c>
      <c r="P324" s="1" t="s">
        <v>25</v>
      </c>
      <c r="Q324" s="1" t="s">
        <v>26</v>
      </c>
      <c r="R324" s="1" t="s">
        <v>896</v>
      </c>
      <c r="S324" s="2">
        <v>1285.24</v>
      </c>
    </row>
    <row r="325" spans="1:19" x14ac:dyDescent="0.3">
      <c r="A325" s="1" t="s">
        <v>19</v>
      </c>
      <c r="B325" s="1" t="s">
        <v>692</v>
      </c>
      <c r="C325" s="1" t="s">
        <v>693</v>
      </c>
      <c r="D325" s="1" t="s">
        <v>1188</v>
      </c>
      <c r="E325" s="1" t="s">
        <v>1189</v>
      </c>
      <c r="F325" s="1" t="s">
        <v>22</v>
      </c>
      <c r="G325" s="1" t="s">
        <v>23</v>
      </c>
      <c r="H325">
        <v>10140101</v>
      </c>
      <c r="I325" s="1" t="s">
        <v>1190</v>
      </c>
      <c r="J325">
        <v>54</v>
      </c>
      <c r="K325">
        <v>54</v>
      </c>
      <c r="L325" s="1" t="s">
        <v>1182</v>
      </c>
      <c r="M325" s="1" t="s">
        <v>1191</v>
      </c>
      <c r="N325">
        <v>44.310360000000003</v>
      </c>
      <c r="O325">
        <v>-100.10120000000001</v>
      </c>
      <c r="P325" s="1" t="s">
        <v>25</v>
      </c>
      <c r="Q325" s="1" t="s">
        <v>26</v>
      </c>
      <c r="R325" s="1" t="s">
        <v>1184</v>
      </c>
      <c r="S325" s="2">
        <v>234.22399999999999</v>
      </c>
    </row>
    <row r="326" spans="1:19" x14ac:dyDescent="0.3">
      <c r="A326" s="1" t="s">
        <v>19</v>
      </c>
      <c r="B326" s="1" t="s">
        <v>749</v>
      </c>
      <c r="C326" s="1" t="s">
        <v>750</v>
      </c>
      <c r="D326" s="1" t="s">
        <v>757</v>
      </c>
      <c r="E326" s="1" t="s">
        <v>758</v>
      </c>
      <c r="F326" s="1" t="s">
        <v>61</v>
      </c>
      <c r="G326" s="1" t="s">
        <v>23</v>
      </c>
      <c r="H326">
        <v>16050304</v>
      </c>
      <c r="I326" s="1" t="s">
        <v>759</v>
      </c>
      <c r="J326">
        <v>54</v>
      </c>
      <c r="K326">
        <v>54</v>
      </c>
      <c r="L326" s="1" t="s">
        <v>723</v>
      </c>
      <c r="M326" s="1" t="s">
        <v>738</v>
      </c>
      <c r="N326">
        <v>38.700000799999998</v>
      </c>
      <c r="O326">
        <v>-118.72180179999999</v>
      </c>
      <c r="P326" s="1" t="s">
        <v>25</v>
      </c>
      <c r="Q326" s="1" t="s">
        <v>26</v>
      </c>
      <c r="R326" s="1" t="s">
        <v>739</v>
      </c>
      <c r="S326" s="2">
        <v>142.54</v>
      </c>
    </row>
    <row r="327" spans="1:19" x14ac:dyDescent="0.3">
      <c r="A327" s="1" t="s">
        <v>19</v>
      </c>
      <c r="B327" s="1" t="s">
        <v>749</v>
      </c>
      <c r="C327" s="1" t="s">
        <v>750</v>
      </c>
      <c r="D327" s="1" t="s">
        <v>763</v>
      </c>
      <c r="E327" s="1" t="s">
        <v>764</v>
      </c>
      <c r="F327" s="1" t="s">
        <v>61</v>
      </c>
      <c r="G327" s="1" t="s">
        <v>23</v>
      </c>
      <c r="H327">
        <v>16050304</v>
      </c>
      <c r="I327" s="1" t="s">
        <v>765</v>
      </c>
      <c r="J327">
        <v>54</v>
      </c>
      <c r="K327">
        <v>54</v>
      </c>
      <c r="L327" s="1" t="s">
        <v>723</v>
      </c>
      <c r="M327" s="1" t="s">
        <v>738</v>
      </c>
      <c r="N327">
        <v>38.751701400000002</v>
      </c>
      <c r="O327">
        <v>-118.7249985</v>
      </c>
      <c r="P327" s="1" t="s">
        <v>25</v>
      </c>
      <c r="Q327" s="1" t="s">
        <v>26</v>
      </c>
      <c r="R327" s="1" t="s">
        <v>739</v>
      </c>
      <c r="S327" s="2">
        <v>142.54</v>
      </c>
    </row>
    <row r="328" spans="1:19" x14ac:dyDescent="0.3">
      <c r="A328" s="1" t="s">
        <v>19</v>
      </c>
      <c r="B328" s="1" t="s">
        <v>692</v>
      </c>
      <c r="C328" s="1" t="s">
        <v>693</v>
      </c>
      <c r="D328" s="1" t="s">
        <v>889</v>
      </c>
      <c r="E328" s="1" t="s">
        <v>890</v>
      </c>
      <c r="F328" s="1" t="s">
        <v>22</v>
      </c>
      <c r="G328" s="1" t="s">
        <v>23</v>
      </c>
      <c r="H328">
        <v>10110101</v>
      </c>
      <c r="I328" s="1" t="s">
        <v>891</v>
      </c>
      <c r="J328">
        <v>53</v>
      </c>
      <c r="K328">
        <v>53</v>
      </c>
      <c r="L328" s="1" t="s">
        <v>816</v>
      </c>
      <c r="M328" s="1" t="s">
        <v>841</v>
      </c>
      <c r="N328">
        <v>48.140970000000003</v>
      </c>
      <c r="O328">
        <v>-103.1313</v>
      </c>
      <c r="P328" s="1" t="s">
        <v>25</v>
      </c>
      <c r="Q328" s="1" t="s">
        <v>26</v>
      </c>
      <c r="R328" s="1" t="s">
        <v>824</v>
      </c>
      <c r="S328" s="2">
        <v>1214.02</v>
      </c>
    </row>
    <row r="329" spans="1:19" x14ac:dyDescent="0.3">
      <c r="A329" s="1" t="s">
        <v>19</v>
      </c>
      <c r="B329" s="1" t="s">
        <v>643</v>
      </c>
      <c r="C329" s="1" t="s">
        <v>644</v>
      </c>
      <c r="D329" s="1" t="s">
        <v>672</v>
      </c>
      <c r="E329" s="1" t="s">
        <v>673</v>
      </c>
      <c r="F329" s="1" t="s">
        <v>61</v>
      </c>
      <c r="G329" s="1" t="s">
        <v>23</v>
      </c>
      <c r="H329">
        <v>9020302</v>
      </c>
      <c r="I329" s="1" t="s">
        <v>674</v>
      </c>
      <c r="J329">
        <v>50</v>
      </c>
      <c r="K329">
        <v>53</v>
      </c>
      <c r="L329" s="1" t="s">
        <v>582</v>
      </c>
      <c r="M329" s="1" t="s">
        <v>648</v>
      </c>
      <c r="N329">
        <v>48.109724900000003</v>
      </c>
      <c r="O329">
        <v>-94.895841799999999</v>
      </c>
      <c r="P329" s="1" t="s">
        <v>25</v>
      </c>
      <c r="Q329" s="1" t="s">
        <v>26</v>
      </c>
      <c r="R329" s="1" t="s">
        <v>665</v>
      </c>
      <c r="S329" s="2">
        <v>482.39800000000002</v>
      </c>
    </row>
    <row r="330" spans="1:19" x14ac:dyDescent="0.3">
      <c r="A330" s="1" t="s">
        <v>19</v>
      </c>
      <c r="B330" s="1" t="s">
        <v>1123</v>
      </c>
      <c r="C330" s="1" t="s">
        <v>1045</v>
      </c>
      <c r="D330" s="1" t="s">
        <v>1153</v>
      </c>
      <c r="E330" s="1" t="s">
        <v>1154</v>
      </c>
      <c r="F330" s="1" t="s">
        <v>61</v>
      </c>
      <c r="G330" s="1" t="s">
        <v>23</v>
      </c>
      <c r="H330">
        <v>3050201</v>
      </c>
      <c r="I330" s="1" t="s">
        <v>1155</v>
      </c>
      <c r="J330">
        <v>53</v>
      </c>
      <c r="K330">
        <v>53</v>
      </c>
      <c r="L330" s="1" t="s">
        <v>1043</v>
      </c>
      <c r="M330" s="1" t="s">
        <v>1076</v>
      </c>
      <c r="N330">
        <v>33.329169999999998</v>
      </c>
      <c r="O330">
        <v>-80.138170000000002</v>
      </c>
      <c r="P330" s="1" t="s">
        <v>25</v>
      </c>
      <c r="Q330" s="1" t="s">
        <v>26</v>
      </c>
      <c r="R330" s="1" t="s">
        <v>1083</v>
      </c>
      <c r="S330" s="2">
        <v>233.22800000000001</v>
      </c>
    </row>
    <row r="331" spans="1:19" x14ac:dyDescent="0.3">
      <c r="A331" s="1" t="s">
        <v>62</v>
      </c>
      <c r="B331" s="1" t="s">
        <v>942</v>
      </c>
      <c r="C331" s="1" t="s">
        <v>943</v>
      </c>
      <c r="D331" s="1" t="s">
        <v>962</v>
      </c>
      <c r="E331" s="1" t="s">
        <v>963</v>
      </c>
      <c r="F331" s="1" t="s">
        <v>23</v>
      </c>
      <c r="G331" s="1" t="s">
        <v>23</v>
      </c>
      <c r="H331">
        <v>18010203</v>
      </c>
      <c r="I331" s="1" t="s">
        <v>964</v>
      </c>
      <c r="J331">
        <v>53</v>
      </c>
      <c r="K331">
        <v>53</v>
      </c>
      <c r="L331" s="1" t="s">
        <v>947</v>
      </c>
      <c r="M331" s="1" t="s">
        <v>948</v>
      </c>
      <c r="N331">
        <v>42.407110600000003</v>
      </c>
      <c r="O331">
        <v>-121.96420879999999</v>
      </c>
      <c r="P331" s="1" t="s">
        <v>25</v>
      </c>
      <c r="Q331" s="1" t="s">
        <v>26</v>
      </c>
      <c r="R331" s="1" t="s">
        <v>949</v>
      </c>
      <c r="S331" s="2">
        <v>228.505</v>
      </c>
    </row>
    <row r="332" spans="1:19" x14ac:dyDescent="0.3">
      <c r="A332" s="1" t="s">
        <v>19</v>
      </c>
      <c r="B332" s="1" t="s">
        <v>1233</v>
      </c>
      <c r="C332" s="1" t="s">
        <v>1234</v>
      </c>
      <c r="D332" s="1" t="s">
        <v>1247</v>
      </c>
      <c r="E332" s="1" t="s">
        <v>1248</v>
      </c>
      <c r="F332" s="1" t="s">
        <v>22</v>
      </c>
      <c r="G332" s="1" t="s">
        <v>23</v>
      </c>
      <c r="H332">
        <v>11140306</v>
      </c>
      <c r="I332" s="1" t="s">
        <v>1249</v>
      </c>
      <c r="J332">
        <v>53</v>
      </c>
      <c r="K332">
        <v>53</v>
      </c>
      <c r="L332" s="1" t="s">
        <v>1232</v>
      </c>
      <c r="M332" s="1" t="s">
        <v>165</v>
      </c>
      <c r="N332">
        <v>32.690300000000001</v>
      </c>
      <c r="O332">
        <v>-94.0642</v>
      </c>
      <c r="P332" s="1" t="s">
        <v>25</v>
      </c>
      <c r="Q332" s="1" t="s">
        <v>26</v>
      </c>
      <c r="R332" s="1" t="s">
        <v>1250</v>
      </c>
      <c r="S332" s="2">
        <v>103.467</v>
      </c>
    </row>
    <row r="333" spans="1:19" x14ac:dyDescent="0.3">
      <c r="A333" s="1" t="s">
        <v>19</v>
      </c>
      <c r="B333" s="1" t="s">
        <v>476</v>
      </c>
      <c r="C333" s="1" t="s">
        <v>477</v>
      </c>
      <c r="D333" s="1" t="s">
        <v>579</v>
      </c>
      <c r="E333" s="1" t="s">
        <v>580</v>
      </c>
      <c r="F333" s="1" t="s">
        <v>480</v>
      </c>
      <c r="G333" s="1" t="s">
        <v>23</v>
      </c>
      <c r="H333">
        <v>4120200</v>
      </c>
      <c r="I333" s="1" t="s">
        <v>581</v>
      </c>
      <c r="J333">
        <v>52</v>
      </c>
      <c r="K333">
        <v>52</v>
      </c>
      <c r="L333" s="1" t="s">
        <v>402</v>
      </c>
      <c r="M333" s="1" t="s">
        <v>562</v>
      </c>
      <c r="N333">
        <v>47.416451899999998</v>
      </c>
      <c r="O333">
        <v>-87.579664800000003</v>
      </c>
      <c r="P333" s="1" t="s">
        <v>396</v>
      </c>
      <c r="Q333" s="1" t="s">
        <v>26</v>
      </c>
      <c r="R333" s="1" t="s">
        <v>545</v>
      </c>
      <c r="S333" s="2">
        <v>81837.100000000006</v>
      </c>
    </row>
    <row r="334" spans="1:19" x14ac:dyDescent="0.3">
      <c r="A334" s="1" t="s">
        <v>19</v>
      </c>
      <c r="B334" s="1" t="s">
        <v>439</v>
      </c>
      <c r="C334" s="1" t="s">
        <v>440</v>
      </c>
      <c r="D334" s="1" t="s">
        <v>471</v>
      </c>
      <c r="E334" s="1" t="s">
        <v>472</v>
      </c>
      <c r="F334" s="1" t="s">
        <v>61</v>
      </c>
      <c r="G334" s="1" t="s">
        <v>23</v>
      </c>
      <c r="H334">
        <v>4190000</v>
      </c>
      <c r="I334" s="1" t="s">
        <v>473</v>
      </c>
      <c r="J334">
        <v>52</v>
      </c>
      <c r="K334">
        <v>52</v>
      </c>
      <c r="L334" s="1" t="s">
        <v>402</v>
      </c>
      <c r="M334" s="1" t="s">
        <v>431</v>
      </c>
      <c r="N334">
        <v>44.952226000000003</v>
      </c>
      <c r="O334">
        <v>-85.561671000000004</v>
      </c>
      <c r="P334" s="1" t="s">
        <v>25</v>
      </c>
      <c r="Q334" s="1" t="s">
        <v>26</v>
      </c>
      <c r="R334" s="1" t="s">
        <v>458</v>
      </c>
      <c r="S334" s="2">
        <v>735.79399999999998</v>
      </c>
    </row>
    <row r="335" spans="1:19" x14ac:dyDescent="0.3">
      <c r="A335" s="1" t="s">
        <v>19</v>
      </c>
      <c r="B335" s="1" t="s">
        <v>1123</v>
      </c>
      <c r="C335" s="1" t="s">
        <v>1045</v>
      </c>
      <c r="D335" s="1" t="s">
        <v>1162</v>
      </c>
      <c r="E335" s="1" t="s">
        <v>1163</v>
      </c>
      <c r="F335" s="1" t="s">
        <v>61</v>
      </c>
      <c r="G335" s="1" t="s">
        <v>23</v>
      </c>
      <c r="H335">
        <v>3050201</v>
      </c>
      <c r="I335" s="1" t="s">
        <v>1164</v>
      </c>
      <c r="J335">
        <v>52</v>
      </c>
      <c r="K335">
        <v>52</v>
      </c>
      <c r="L335" s="1" t="s">
        <v>1043</v>
      </c>
      <c r="M335" s="1" t="s">
        <v>1076</v>
      </c>
      <c r="N335">
        <v>33.379539999999999</v>
      </c>
      <c r="O335">
        <v>-80.00067</v>
      </c>
      <c r="P335" s="1" t="s">
        <v>25</v>
      </c>
      <c r="Q335" s="1" t="s">
        <v>26</v>
      </c>
      <c r="R335" s="1" t="s">
        <v>1083</v>
      </c>
      <c r="S335" s="2">
        <v>233.22800000000001</v>
      </c>
    </row>
    <row r="336" spans="1:19" x14ac:dyDescent="0.3">
      <c r="A336" s="1" t="s">
        <v>62</v>
      </c>
      <c r="B336" s="1" t="s">
        <v>942</v>
      </c>
      <c r="C336" s="1" t="s">
        <v>943</v>
      </c>
      <c r="D336" s="1" t="s">
        <v>944</v>
      </c>
      <c r="E336" s="1" t="s">
        <v>945</v>
      </c>
      <c r="F336" s="1" t="s">
        <v>23</v>
      </c>
      <c r="G336" s="1" t="s">
        <v>23</v>
      </c>
      <c r="H336">
        <v>18010203</v>
      </c>
      <c r="I336" s="1" t="s">
        <v>946</v>
      </c>
      <c r="J336">
        <v>52</v>
      </c>
      <c r="K336">
        <v>52</v>
      </c>
      <c r="L336" s="1" t="s">
        <v>947</v>
      </c>
      <c r="M336" s="1" t="s">
        <v>948</v>
      </c>
      <c r="N336">
        <v>42.308222200000003</v>
      </c>
      <c r="O336">
        <v>-121.85733329999999</v>
      </c>
      <c r="P336" s="1" t="s">
        <v>25</v>
      </c>
      <c r="Q336" s="1" t="s">
        <v>26</v>
      </c>
      <c r="R336" s="1" t="s">
        <v>949</v>
      </c>
      <c r="S336" s="2">
        <v>228.505</v>
      </c>
    </row>
    <row r="337" spans="1:19" x14ac:dyDescent="0.3">
      <c r="A337" s="1" t="s">
        <v>19</v>
      </c>
      <c r="B337" s="1" t="s">
        <v>90</v>
      </c>
      <c r="C337" s="1" t="s">
        <v>91</v>
      </c>
      <c r="D337" s="1" t="s">
        <v>101</v>
      </c>
      <c r="E337" s="1" t="s">
        <v>102</v>
      </c>
      <c r="F337" s="1" t="s">
        <v>61</v>
      </c>
      <c r="G337" s="1" t="s">
        <v>23</v>
      </c>
      <c r="H337">
        <v>18020116</v>
      </c>
      <c r="I337" s="1" t="s">
        <v>103</v>
      </c>
      <c r="J337">
        <v>52</v>
      </c>
      <c r="K337">
        <v>52</v>
      </c>
      <c r="L337" s="1" t="s">
        <v>87</v>
      </c>
      <c r="M337" s="1" t="s">
        <v>88</v>
      </c>
      <c r="N337">
        <v>39.063200000000002</v>
      </c>
      <c r="O337">
        <v>-122.866</v>
      </c>
      <c r="P337" s="1" t="s">
        <v>25</v>
      </c>
      <c r="Q337" s="1" t="s">
        <v>26</v>
      </c>
      <c r="R337" s="1" t="s">
        <v>89</v>
      </c>
      <c r="S337" s="2">
        <v>159.102</v>
      </c>
    </row>
    <row r="338" spans="1:19" x14ac:dyDescent="0.3">
      <c r="A338" s="1" t="s">
        <v>19</v>
      </c>
      <c r="B338" s="1" t="s">
        <v>476</v>
      </c>
      <c r="C338" s="1" t="s">
        <v>477</v>
      </c>
      <c r="D338" s="1" t="s">
        <v>1495</v>
      </c>
      <c r="E338" s="1" t="s">
        <v>1496</v>
      </c>
      <c r="F338" s="1" t="s">
        <v>480</v>
      </c>
      <c r="G338" s="1" t="s">
        <v>23</v>
      </c>
      <c r="H338">
        <v>0</v>
      </c>
      <c r="I338" s="1" t="s">
        <v>1497</v>
      </c>
      <c r="J338">
        <v>51</v>
      </c>
      <c r="K338">
        <v>51</v>
      </c>
      <c r="L338" s="1" t="s">
        <v>1479</v>
      </c>
      <c r="M338" s="1" t="s">
        <v>1498</v>
      </c>
      <c r="N338">
        <v>46.914673499999999</v>
      </c>
      <c r="O338">
        <v>-90.406647599999999</v>
      </c>
      <c r="P338" s="1" t="s">
        <v>396</v>
      </c>
      <c r="Q338" s="1" t="s">
        <v>26</v>
      </c>
      <c r="R338" s="1" t="s">
        <v>545</v>
      </c>
      <c r="S338" s="2">
        <v>81837.100000000006</v>
      </c>
    </row>
    <row r="339" spans="1:19" x14ac:dyDescent="0.3">
      <c r="A339" s="1" t="s">
        <v>19</v>
      </c>
      <c r="B339" s="1" t="s">
        <v>439</v>
      </c>
      <c r="C339" s="1" t="s">
        <v>440</v>
      </c>
      <c r="D339" s="1" t="s">
        <v>468</v>
      </c>
      <c r="E339" s="1" t="s">
        <v>469</v>
      </c>
      <c r="F339" s="1" t="s">
        <v>61</v>
      </c>
      <c r="G339" s="1" t="s">
        <v>23</v>
      </c>
      <c r="H339">
        <v>4190000</v>
      </c>
      <c r="I339" s="1" t="s">
        <v>470</v>
      </c>
      <c r="J339">
        <v>51</v>
      </c>
      <c r="K339">
        <v>51</v>
      </c>
      <c r="L339" s="1" t="s">
        <v>402</v>
      </c>
      <c r="M339" s="1" t="s">
        <v>433</v>
      </c>
      <c r="N339">
        <v>44.795836999999999</v>
      </c>
      <c r="O339">
        <v>-85.610003000000006</v>
      </c>
      <c r="P339" s="1" t="s">
        <v>25</v>
      </c>
      <c r="Q339" s="1" t="s">
        <v>26</v>
      </c>
      <c r="R339" s="1" t="s">
        <v>458</v>
      </c>
      <c r="S339" s="2">
        <v>735.79399999999998</v>
      </c>
    </row>
    <row r="340" spans="1:19" x14ac:dyDescent="0.3">
      <c r="A340" s="1" t="s">
        <v>62</v>
      </c>
      <c r="B340" s="1" t="s">
        <v>380</v>
      </c>
      <c r="C340" s="1" t="s">
        <v>381</v>
      </c>
      <c r="D340" s="1" t="s">
        <v>382</v>
      </c>
      <c r="E340" s="1" t="s">
        <v>383</v>
      </c>
      <c r="F340" s="1" t="s">
        <v>23</v>
      </c>
      <c r="G340" s="1" t="s">
        <v>23</v>
      </c>
      <c r="H340">
        <v>8090202</v>
      </c>
      <c r="I340" s="1" t="s">
        <v>384</v>
      </c>
      <c r="J340">
        <v>50</v>
      </c>
      <c r="K340">
        <v>50</v>
      </c>
      <c r="L340" s="1" t="s">
        <v>385</v>
      </c>
      <c r="M340" s="1" t="s">
        <v>386</v>
      </c>
      <c r="N340">
        <v>30.070201300000001</v>
      </c>
      <c r="O340">
        <v>-90.145352599999995</v>
      </c>
      <c r="P340" s="1" t="s">
        <v>25</v>
      </c>
      <c r="Q340" s="1" t="s">
        <v>26</v>
      </c>
      <c r="R340" s="1" t="s">
        <v>387</v>
      </c>
      <c r="S340" s="2">
        <v>1639.9</v>
      </c>
    </row>
    <row r="341" spans="1:19" x14ac:dyDescent="0.3">
      <c r="A341" s="1" t="s">
        <v>19</v>
      </c>
      <c r="B341" s="1" t="s">
        <v>439</v>
      </c>
      <c r="C341" s="1" t="s">
        <v>440</v>
      </c>
      <c r="D341" s="1" t="s">
        <v>459</v>
      </c>
      <c r="E341" s="1" t="s">
        <v>460</v>
      </c>
      <c r="F341" s="1" t="s">
        <v>61</v>
      </c>
      <c r="G341" s="1" t="s">
        <v>23</v>
      </c>
      <c r="H341">
        <v>4060200</v>
      </c>
      <c r="I341" s="1" t="s">
        <v>461</v>
      </c>
      <c r="J341">
        <v>50</v>
      </c>
      <c r="K341">
        <v>50</v>
      </c>
      <c r="L341" s="1" t="s">
        <v>402</v>
      </c>
      <c r="M341" s="1" t="s">
        <v>431</v>
      </c>
      <c r="N341">
        <v>44.946669999999997</v>
      </c>
      <c r="O341">
        <v>-85.436671000000004</v>
      </c>
      <c r="P341" s="1" t="s">
        <v>25</v>
      </c>
      <c r="Q341" s="1" t="s">
        <v>26</v>
      </c>
      <c r="R341" s="1" t="s">
        <v>458</v>
      </c>
      <c r="S341" s="2">
        <v>735.79399999999998</v>
      </c>
    </row>
    <row r="342" spans="1:19" x14ac:dyDescent="0.3">
      <c r="A342" s="1" t="s">
        <v>19</v>
      </c>
      <c r="B342" s="1" t="s">
        <v>643</v>
      </c>
      <c r="C342" s="1" t="s">
        <v>644</v>
      </c>
      <c r="D342" s="1" t="s">
        <v>662</v>
      </c>
      <c r="E342" s="1" t="s">
        <v>663</v>
      </c>
      <c r="F342" s="1" t="s">
        <v>61</v>
      </c>
      <c r="G342" s="1" t="s">
        <v>23</v>
      </c>
      <c r="H342">
        <v>9020302</v>
      </c>
      <c r="I342" s="1" t="s">
        <v>664</v>
      </c>
      <c r="J342">
        <v>46</v>
      </c>
      <c r="K342">
        <v>50</v>
      </c>
      <c r="L342" s="1" t="s">
        <v>582</v>
      </c>
      <c r="M342" s="1" t="s">
        <v>648</v>
      </c>
      <c r="N342">
        <v>48.140841700000003</v>
      </c>
      <c r="O342">
        <v>-94.7461251</v>
      </c>
      <c r="P342" s="1" t="s">
        <v>25</v>
      </c>
      <c r="Q342" s="1" t="s">
        <v>26</v>
      </c>
      <c r="R342" s="1" t="s">
        <v>665</v>
      </c>
      <c r="S342" s="2">
        <v>482.39800000000002</v>
      </c>
    </row>
    <row r="343" spans="1:19" x14ac:dyDescent="0.3">
      <c r="A343" s="1" t="s">
        <v>19</v>
      </c>
      <c r="B343" s="1" t="s">
        <v>1123</v>
      </c>
      <c r="C343" s="1" t="s">
        <v>1045</v>
      </c>
      <c r="D343" s="1" t="s">
        <v>1129</v>
      </c>
      <c r="E343" s="1" t="s">
        <v>1130</v>
      </c>
      <c r="F343" s="1" t="s">
        <v>61</v>
      </c>
      <c r="G343" s="1" t="s">
        <v>23</v>
      </c>
      <c r="H343">
        <v>3050111</v>
      </c>
      <c r="I343" s="1" t="s">
        <v>1131</v>
      </c>
      <c r="J343">
        <v>50</v>
      </c>
      <c r="K343">
        <v>50</v>
      </c>
      <c r="L343" s="1" t="s">
        <v>1043</v>
      </c>
      <c r="M343" s="1" t="s">
        <v>1056</v>
      </c>
      <c r="N343">
        <v>33.572589999999998</v>
      </c>
      <c r="O343">
        <v>-80.436089999999993</v>
      </c>
      <c r="P343" s="1" t="s">
        <v>25</v>
      </c>
      <c r="Q343" s="1" t="s">
        <v>26</v>
      </c>
      <c r="R343" s="1" t="s">
        <v>180</v>
      </c>
      <c r="S343" s="2">
        <v>324.315</v>
      </c>
    </row>
    <row r="344" spans="1:19" x14ac:dyDescent="0.3">
      <c r="A344" s="1" t="s">
        <v>19</v>
      </c>
      <c r="B344" s="1" t="s">
        <v>1123</v>
      </c>
      <c r="C344" s="1" t="s">
        <v>1045</v>
      </c>
      <c r="D344" s="1" t="s">
        <v>1141</v>
      </c>
      <c r="E344" s="1" t="s">
        <v>1142</v>
      </c>
      <c r="F344" s="1" t="s">
        <v>61</v>
      </c>
      <c r="G344" s="1" t="s">
        <v>23</v>
      </c>
      <c r="H344">
        <v>3050111</v>
      </c>
      <c r="I344" s="1" t="s">
        <v>1143</v>
      </c>
      <c r="J344">
        <v>50</v>
      </c>
      <c r="K344">
        <v>50</v>
      </c>
      <c r="L344" s="1" t="s">
        <v>1043</v>
      </c>
      <c r="M344" s="1" t="s">
        <v>1056</v>
      </c>
      <c r="N344">
        <v>33.531669999999998</v>
      </c>
      <c r="O344">
        <v>-80.266829999999999</v>
      </c>
      <c r="P344" s="1" t="s">
        <v>25</v>
      </c>
      <c r="Q344" s="1" t="s">
        <v>26</v>
      </c>
      <c r="R344" s="1" t="s">
        <v>180</v>
      </c>
      <c r="S344" s="2">
        <v>324.315</v>
      </c>
    </row>
    <row r="345" spans="1:19" x14ac:dyDescent="0.3">
      <c r="A345" s="1" t="s">
        <v>62</v>
      </c>
      <c r="B345" s="1" t="s">
        <v>678</v>
      </c>
      <c r="C345" s="1" t="s">
        <v>679</v>
      </c>
      <c r="D345" s="1" t="s">
        <v>680</v>
      </c>
      <c r="E345" s="1" t="s">
        <v>681</v>
      </c>
      <c r="F345" s="1" t="s">
        <v>23</v>
      </c>
      <c r="G345" s="1" t="s">
        <v>23</v>
      </c>
      <c r="H345">
        <v>17010101</v>
      </c>
      <c r="I345" s="1" t="s">
        <v>682</v>
      </c>
      <c r="J345">
        <v>50</v>
      </c>
      <c r="K345">
        <v>50</v>
      </c>
      <c r="L345" s="1" t="s">
        <v>683</v>
      </c>
      <c r="M345" s="1" t="s">
        <v>684</v>
      </c>
      <c r="N345">
        <v>48.989630599999998</v>
      </c>
      <c r="O345">
        <v>-115.1809694</v>
      </c>
      <c r="P345" s="1" t="s">
        <v>396</v>
      </c>
      <c r="Q345" s="1" t="s">
        <v>26</v>
      </c>
      <c r="R345" s="1" t="s">
        <v>685</v>
      </c>
      <c r="S345" s="2">
        <v>233.62200000000001</v>
      </c>
    </row>
    <row r="346" spans="1:19" x14ac:dyDescent="0.3">
      <c r="A346" s="1" t="s">
        <v>19</v>
      </c>
      <c r="B346" s="1" t="s">
        <v>1123</v>
      </c>
      <c r="C346" s="1" t="s">
        <v>1045</v>
      </c>
      <c r="D346" s="1" t="s">
        <v>1176</v>
      </c>
      <c r="E346" s="1" t="s">
        <v>1177</v>
      </c>
      <c r="F346" s="1" t="s">
        <v>61</v>
      </c>
      <c r="G346" s="1" t="s">
        <v>23</v>
      </c>
      <c r="H346">
        <v>3050201</v>
      </c>
      <c r="I346" s="1" t="s">
        <v>1178</v>
      </c>
      <c r="J346">
        <v>50</v>
      </c>
      <c r="K346">
        <v>50</v>
      </c>
      <c r="L346" s="1" t="s">
        <v>1043</v>
      </c>
      <c r="M346" s="1" t="s">
        <v>1076</v>
      </c>
      <c r="N346">
        <v>33.21931</v>
      </c>
      <c r="O346">
        <v>-80.034409999999994</v>
      </c>
      <c r="P346" s="1" t="s">
        <v>25</v>
      </c>
      <c r="Q346" s="1" t="s">
        <v>26</v>
      </c>
      <c r="R346" s="1" t="s">
        <v>1083</v>
      </c>
      <c r="S346" s="2">
        <v>233.22800000000001</v>
      </c>
    </row>
    <row r="347" spans="1:19" x14ac:dyDescent="0.3">
      <c r="A347" s="1" t="s">
        <v>19</v>
      </c>
      <c r="B347" s="1" t="s">
        <v>476</v>
      </c>
      <c r="C347" s="1" t="s">
        <v>477</v>
      </c>
      <c r="D347" s="1" t="s">
        <v>512</v>
      </c>
      <c r="E347" s="1" t="s">
        <v>513</v>
      </c>
      <c r="F347" s="1" t="s">
        <v>480</v>
      </c>
      <c r="G347" s="1" t="s">
        <v>23</v>
      </c>
      <c r="H347">
        <v>0</v>
      </c>
      <c r="I347" s="1" t="s">
        <v>514</v>
      </c>
      <c r="J347">
        <v>49</v>
      </c>
      <c r="K347">
        <v>49</v>
      </c>
      <c r="L347" s="1" t="s">
        <v>402</v>
      </c>
      <c r="M347" s="1" t="s">
        <v>417</v>
      </c>
      <c r="N347">
        <v>44.083388999999997</v>
      </c>
      <c r="O347">
        <v>-82.749934800000005</v>
      </c>
      <c r="P347" s="1" t="s">
        <v>396</v>
      </c>
      <c r="Q347" s="1" t="s">
        <v>26</v>
      </c>
      <c r="R347" s="1" t="s">
        <v>483</v>
      </c>
      <c r="S347" s="2">
        <v>42496.7</v>
      </c>
    </row>
    <row r="348" spans="1:19" x14ac:dyDescent="0.3">
      <c r="A348" s="1" t="s">
        <v>19</v>
      </c>
      <c r="B348" s="1" t="s">
        <v>1123</v>
      </c>
      <c r="C348" s="1" t="s">
        <v>1045</v>
      </c>
      <c r="D348" s="1" t="s">
        <v>1138</v>
      </c>
      <c r="E348" s="1" t="s">
        <v>1139</v>
      </c>
      <c r="F348" s="1" t="s">
        <v>61</v>
      </c>
      <c r="G348" s="1" t="s">
        <v>23</v>
      </c>
      <c r="H348">
        <v>3050111</v>
      </c>
      <c r="I348" s="1" t="s">
        <v>1140</v>
      </c>
      <c r="J348">
        <v>49</v>
      </c>
      <c r="K348">
        <v>49</v>
      </c>
      <c r="L348" s="1" t="s">
        <v>1043</v>
      </c>
      <c r="M348" s="1" t="s">
        <v>1056</v>
      </c>
      <c r="N348">
        <v>33.526859999999999</v>
      </c>
      <c r="O348">
        <v>-80.312290000000004</v>
      </c>
      <c r="P348" s="1" t="s">
        <v>25</v>
      </c>
      <c r="Q348" s="1" t="s">
        <v>26</v>
      </c>
      <c r="R348" s="1" t="s">
        <v>180</v>
      </c>
      <c r="S348" s="2">
        <v>324.315</v>
      </c>
    </row>
    <row r="349" spans="1:19" x14ac:dyDescent="0.3">
      <c r="A349" s="1" t="s">
        <v>19</v>
      </c>
      <c r="B349" s="1" t="s">
        <v>1123</v>
      </c>
      <c r="C349" s="1" t="s">
        <v>1045</v>
      </c>
      <c r="D349" s="1" t="s">
        <v>1168</v>
      </c>
      <c r="E349" s="1" t="s">
        <v>1169</v>
      </c>
      <c r="F349" s="1" t="s">
        <v>61</v>
      </c>
      <c r="G349" s="1" t="s">
        <v>23</v>
      </c>
      <c r="H349">
        <v>3050111</v>
      </c>
      <c r="I349" s="1" t="s">
        <v>1170</v>
      </c>
      <c r="J349">
        <v>49</v>
      </c>
      <c r="K349">
        <v>49</v>
      </c>
      <c r="L349" s="1" t="s">
        <v>1043</v>
      </c>
      <c r="M349" s="1" t="s">
        <v>363</v>
      </c>
      <c r="N349">
        <v>33.607039999999998</v>
      </c>
      <c r="O349">
        <v>-80.551240000000007</v>
      </c>
      <c r="P349" s="1" t="s">
        <v>25</v>
      </c>
      <c r="Q349" s="1" t="s">
        <v>26</v>
      </c>
      <c r="R349" s="1" t="s">
        <v>180</v>
      </c>
      <c r="S349" s="2">
        <v>324.315</v>
      </c>
    </row>
    <row r="350" spans="1:19" x14ac:dyDescent="0.3">
      <c r="A350" s="1" t="s">
        <v>19</v>
      </c>
      <c r="B350" s="1" t="s">
        <v>439</v>
      </c>
      <c r="C350" s="1" t="s">
        <v>440</v>
      </c>
      <c r="D350" s="1" t="s">
        <v>455</v>
      </c>
      <c r="E350" s="1" t="s">
        <v>456</v>
      </c>
      <c r="F350" s="1" t="s">
        <v>61</v>
      </c>
      <c r="G350" s="1" t="s">
        <v>23</v>
      </c>
      <c r="H350">
        <v>4060200</v>
      </c>
      <c r="I350" s="1" t="s">
        <v>457</v>
      </c>
      <c r="J350">
        <v>48</v>
      </c>
      <c r="K350">
        <v>48</v>
      </c>
      <c r="L350" s="1" t="s">
        <v>402</v>
      </c>
      <c r="M350" s="1" t="s">
        <v>431</v>
      </c>
      <c r="N350">
        <v>44.774439999999998</v>
      </c>
      <c r="O350">
        <v>-85.535830000000004</v>
      </c>
      <c r="P350" s="1" t="s">
        <v>25</v>
      </c>
      <c r="Q350" s="1" t="s">
        <v>26</v>
      </c>
      <c r="R350" s="1" t="s">
        <v>458</v>
      </c>
      <c r="S350" s="2">
        <v>735.79399999999998</v>
      </c>
    </row>
    <row r="351" spans="1:19" x14ac:dyDescent="0.3">
      <c r="A351" s="1" t="s">
        <v>19</v>
      </c>
      <c r="B351" s="1" t="s">
        <v>643</v>
      </c>
      <c r="C351" s="1" t="s">
        <v>644</v>
      </c>
      <c r="D351" s="1" t="s">
        <v>650</v>
      </c>
      <c r="E351" s="1" t="s">
        <v>651</v>
      </c>
      <c r="F351" s="1" t="s">
        <v>61</v>
      </c>
      <c r="G351" s="1" t="s">
        <v>23</v>
      </c>
      <c r="H351">
        <v>9020302</v>
      </c>
      <c r="I351" s="1" t="s">
        <v>652</v>
      </c>
      <c r="J351">
        <v>48</v>
      </c>
      <c r="K351">
        <v>48</v>
      </c>
      <c r="L351" s="1" t="s">
        <v>582</v>
      </c>
      <c r="M351" s="1" t="s">
        <v>648</v>
      </c>
      <c r="N351">
        <v>47.957508300000001</v>
      </c>
      <c r="O351">
        <v>-94.907225100000005</v>
      </c>
      <c r="P351" s="1" t="s">
        <v>25</v>
      </c>
      <c r="Q351" s="1" t="s">
        <v>26</v>
      </c>
      <c r="R351" s="1" t="s">
        <v>649</v>
      </c>
      <c r="S351" s="2">
        <v>663.31200000000001</v>
      </c>
    </row>
    <row r="352" spans="1:19" x14ac:dyDescent="0.3">
      <c r="A352" s="1" t="s">
        <v>19</v>
      </c>
      <c r="B352" s="1" t="s">
        <v>1233</v>
      </c>
      <c r="C352" s="1" t="s">
        <v>1234</v>
      </c>
      <c r="D352" s="1" t="s">
        <v>1243</v>
      </c>
      <c r="E352" s="1" t="s">
        <v>1244</v>
      </c>
      <c r="F352" s="1" t="s">
        <v>22</v>
      </c>
      <c r="G352" s="1" t="s">
        <v>23</v>
      </c>
      <c r="H352">
        <v>11140302</v>
      </c>
      <c r="I352" s="1" t="s">
        <v>1245</v>
      </c>
      <c r="J352">
        <v>48</v>
      </c>
      <c r="K352">
        <v>48</v>
      </c>
      <c r="L352" s="1" t="s">
        <v>1232</v>
      </c>
      <c r="M352" s="1" t="s">
        <v>430</v>
      </c>
      <c r="N352">
        <v>33.300899999999999</v>
      </c>
      <c r="O352">
        <v>-94.181799999999996</v>
      </c>
      <c r="P352" s="1" t="s">
        <v>25</v>
      </c>
      <c r="Q352" s="1" t="s">
        <v>26</v>
      </c>
      <c r="R352" s="1" t="s">
        <v>1246</v>
      </c>
      <c r="S352" s="2">
        <v>115.259</v>
      </c>
    </row>
    <row r="353" spans="1:19" x14ac:dyDescent="0.3">
      <c r="A353" s="1" t="s">
        <v>19</v>
      </c>
      <c r="B353" s="1" t="s">
        <v>842</v>
      </c>
      <c r="C353" s="1" t="s">
        <v>843</v>
      </c>
      <c r="D353" s="1" t="s">
        <v>857</v>
      </c>
      <c r="E353" s="1" t="s">
        <v>824</v>
      </c>
      <c r="F353" s="1" t="s">
        <v>22</v>
      </c>
      <c r="G353" s="1" t="s">
        <v>23</v>
      </c>
      <c r="H353">
        <v>10110101</v>
      </c>
      <c r="I353" s="1" t="s">
        <v>858</v>
      </c>
      <c r="J353">
        <v>47</v>
      </c>
      <c r="K353">
        <v>47</v>
      </c>
      <c r="L353" s="1" t="s">
        <v>816</v>
      </c>
      <c r="M353" s="1" t="s">
        <v>818</v>
      </c>
      <c r="N353">
        <v>47.515569999999997</v>
      </c>
      <c r="O353">
        <v>-101.3715</v>
      </c>
      <c r="P353" s="1" t="s">
        <v>25</v>
      </c>
      <c r="Q353" s="1" t="s">
        <v>26</v>
      </c>
      <c r="R353" s="1" t="s">
        <v>824</v>
      </c>
      <c r="S353" s="2">
        <v>1214.02</v>
      </c>
    </row>
    <row r="354" spans="1:19" x14ac:dyDescent="0.3">
      <c r="A354" s="1" t="s">
        <v>19</v>
      </c>
      <c r="B354" s="1" t="s">
        <v>842</v>
      </c>
      <c r="C354" s="1" t="s">
        <v>843</v>
      </c>
      <c r="D354" s="1" t="s">
        <v>859</v>
      </c>
      <c r="E354" s="1" t="s">
        <v>824</v>
      </c>
      <c r="F354" s="1" t="s">
        <v>22</v>
      </c>
      <c r="G354" s="1" t="s">
        <v>23</v>
      </c>
      <c r="H354">
        <v>10110101</v>
      </c>
      <c r="I354" s="1" t="s">
        <v>860</v>
      </c>
      <c r="J354">
        <v>47</v>
      </c>
      <c r="K354">
        <v>47</v>
      </c>
      <c r="L354" s="1" t="s">
        <v>816</v>
      </c>
      <c r="M354" s="1" t="s">
        <v>818</v>
      </c>
      <c r="N354">
        <v>47.551949999999998</v>
      </c>
      <c r="O354">
        <v>-101.515</v>
      </c>
      <c r="P354" s="1" t="s">
        <v>25</v>
      </c>
      <c r="Q354" s="1" t="s">
        <v>26</v>
      </c>
      <c r="R354" s="1" t="s">
        <v>824</v>
      </c>
      <c r="S354" s="2">
        <v>1214.02</v>
      </c>
    </row>
    <row r="355" spans="1:19" x14ac:dyDescent="0.3">
      <c r="A355" s="1" t="s">
        <v>19</v>
      </c>
      <c r="B355" s="1" t="s">
        <v>692</v>
      </c>
      <c r="C355" s="1" t="s">
        <v>693</v>
      </c>
      <c r="D355" s="1" t="s">
        <v>1185</v>
      </c>
      <c r="E355" s="1" t="s">
        <v>1186</v>
      </c>
      <c r="F355" s="1" t="s">
        <v>22</v>
      </c>
      <c r="G355" s="1" t="s">
        <v>23</v>
      </c>
      <c r="H355">
        <v>10140101</v>
      </c>
      <c r="I355" s="1" t="s">
        <v>1187</v>
      </c>
      <c r="J355">
        <v>47</v>
      </c>
      <c r="K355">
        <v>47</v>
      </c>
      <c r="L355" s="1" t="s">
        <v>1182</v>
      </c>
      <c r="M355" s="1" t="s">
        <v>1183</v>
      </c>
      <c r="N355">
        <v>44.114420000000003</v>
      </c>
      <c r="O355">
        <v>-99.699579999999997</v>
      </c>
      <c r="P355" s="1" t="s">
        <v>25</v>
      </c>
      <c r="Q355" s="1" t="s">
        <v>26</v>
      </c>
      <c r="R355" s="1" t="s">
        <v>1184</v>
      </c>
      <c r="S355" s="2">
        <v>234.22399999999999</v>
      </c>
    </row>
    <row r="356" spans="1:19" x14ac:dyDescent="0.3">
      <c r="A356" s="1" t="s">
        <v>19</v>
      </c>
      <c r="B356" s="1" t="s">
        <v>1233</v>
      </c>
      <c r="C356" s="1" t="s">
        <v>1234</v>
      </c>
      <c r="D356" s="1" t="s">
        <v>1308</v>
      </c>
      <c r="E356" s="1" t="s">
        <v>1309</v>
      </c>
      <c r="F356" s="1" t="s">
        <v>22</v>
      </c>
      <c r="G356" s="1" t="s">
        <v>23</v>
      </c>
      <c r="H356">
        <v>12030103</v>
      </c>
      <c r="I356" s="1" t="s">
        <v>1310</v>
      </c>
      <c r="J356">
        <v>47</v>
      </c>
      <c r="K356">
        <v>47</v>
      </c>
      <c r="L356" s="1" t="s">
        <v>1232</v>
      </c>
      <c r="M356" s="1" t="s">
        <v>1311</v>
      </c>
      <c r="N356">
        <v>33.360599999999998</v>
      </c>
      <c r="O356">
        <v>-97.044700000000006</v>
      </c>
      <c r="P356" s="1" t="s">
        <v>25</v>
      </c>
      <c r="Q356" s="1" t="s">
        <v>26</v>
      </c>
      <c r="R356" s="1" t="s">
        <v>1312</v>
      </c>
      <c r="S356" s="2">
        <v>107.908</v>
      </c>
    </row>
    <row r="357" spans="1:19" x14ac:dyDescent="0.3">
      <c r="A357" s="1" t="s">
        <v>19</v>
      </c>
      <c r="B357" s="1" t="s">
        <v>334</v>
      </c>
      <c r="C357" s="1" t="s">
        <v>335</v>
      </c>
      <c r="D357" s="1" t="s">
        <v>347</v>
      </c>
      <c r="E357" s="1" t="s">
        <v>348</v>
      </c>
      <c r="F357" s="1" t="s">
        <v>22</v>
      </c>
      <c r="G357" s="1" t="s">
        <v>23</v>
      </c>
      <c r="H357">
        <v>17050123</v>
      </c>
      <c r="I357" s="1" t="s">
        <v>349</v>
      </c>
      <c r="J357">
        <v>47</v>
      </c>
      <c r="K357">
        <v>47</v>
      </c>
      <c r="L357" s="1" t="s">
        <v>332</v>
      </c>
      <c r="M357" s="1" t="s">
        <v>333</v>
      </c>
      <c r="N357">
        <v>44.619444399999999</v>
      </c>
      <c r="O357">
        <v>-116.0930556</v>
      </c>
      <c r="P357" s="1" t="s">
        <v>25</v>
      </c>
      <c r="Q357" s="1" t="s">
        <v>1594</v>
      </c>
      <c r="R357" s="1" t="s">
        <v>350</v>
      </c>
      <c r="S357" s="2">
        <v>105.286</v>
      </c>
    </row>
    <row r="358" spans="1:19" x14ac:dyDescent="0.3">
      <c r="A358" s="1" t="s">
        <v>19</v>
      </c>
      <c r="B358" s="1" t="s">
        <v>1233</v>
      </c>
      <c r="C358" s="1" t="s">
        <v>1234</v>
      </c>
      <c r="D358" s="1" t="s">
        <v>1240</v>
      </c>
      <c r="E358" s="1" t="s">
        <v>1241</v>
      </c>
      <c r="F358" s="1" t="s">
        <v>22</v>
      </c>
      <c r="G358" s="1" t="s">
        <v>23</v>
      </c>
      <c r="H358">
        <v>11130210</v>
      </c>
      <c r="I358" s="1" t="s">
        <v>1242</v>
      </c>
      <c r="J358">
        <v>46</v>
      </c>
      <c r="K358">
        <v>46</v>
      </c>
      <c r="L358" s="1" t="s">
        <v>1232</v>
      </c>
      <c r="M358" s="1" t="s">
        <v>1238</v>
      </c>
      <c r="N358">
        <v>33.866700000000002</v>
      </c>
      <c r="O358">
        <v>-96.833299999999994</v>
      </c>
      <c r="P358" s="1" t="s">
        <v>25</v>
      </c>
      <c r="Q358" s="1" t="s">
        <v>26</v>
      </c>
      <c r="R358" s="1" t="s">
        <v>1239</v>
      </c>
      <c r="S358" s="2">
        <v>341.50400000000002</v>
      </c>
    </row>
    <row r="359" spans="1:19" x14ac:dyDescent="0.3">
      <c r="A359" s="1" t="s">
        <v>19</v>
      </c>
      <c r="B359" s="1" t="s">
        <v>1233</v>
      </c>
      <c r="C359" s="1" t="s">
        <v>1234</v>
      </c>
      <c r="D359" s="1" t="s">
        <v>1313</v>
      </c>
      <c r="E359" s="1" t="s">
        <v>1314</v>
      </c>
      <c r="F359" s="1" t="s">
        <v>22</v>
      </c>
      <c r="G359" s="1" t="s">
        <v>23</v>
      </c>
      <c r="H359">
        <v>12030103</v>
      </c>
      <c r="I359" s="1" t="s">
        <v>1315</v>
      </c>
      <c r="J359">
        <v>46</v>
      </c>
      <c r="K359">
        <v>46</v>
      </c>
      <c r="L359" s="1" t="s">
        <v>1232</v>
      </c>
      <c r="M359" s="1" t="s">
        <v>1311</v>
      </c>
      <c r="N359">
        <v>33.416400000000003</v>
      </c>
      <c r="O359">
        <v>-97.1083</v>
      </c>
      <c r="P359" s="1" t="s">
        <v>25</v>
      </c>
      <c r="Q359" s="1" t="s">
        <v>26</v>
      </c>
      <c r="R359" s="1" t="s">
        <v>1312</v>
      </c>
      <c r="S359" s="2">
        <v>107.908</v>
      </c>
    </row>
    <row r="360" spans="1:19" x14ac:dyDescent="0.3">
      <c r="A360" s="1" t="s">
        <v>62</v>
      </c>
      <c r="B360" s="1" t="s">
        <v>1398</v>
      </c>
      <c r="C360" s="1" t="s">
        <v>1399</v>
      </c>
      <c r="D360" s="1" t="s">
        <v>1408</v>
      </c>
      <c r="E360" s="1" t="s">
        <v>1409</v>
      </c>
      <c r="F360" s="1" t="s">
        <v>23</v>
      </c>
      <c r="G360" s="1" t="s">
        <v>23</v>
      </c>
      <c r="H360">
        <v>16020310</v>
      </c>
      <c r="I360" s="1" t="s">
        <v>1410</v>
      </c>
      <c r="J360">
        <v>45</v>
      </c>
      <c r="K360">
        <v>45</v>
      </c>
      <c r="L360" s="1" t="s">
        <v>1403</v>
      </c>
      <c r="M360" s="1" t="s">
        <v>1411</v>
      </c>
      <c r="N360">
        <v>41.112156200000001</v>
      </c>
      <c r="O360">
        <v>-112.641357</v>
      </c>
      <c r="P360" s="1" t="s">
        <v>25</v>
      </c>
      <c r="Q360" s="1" t="s">
        <v>26</v>
      </c>
      <c r="R360" s="1" t="s">
        <v>1404</v>
      </c>
      <c r="S360" s="2">
        <v>4443.97</v>
      </c>
    </row>
    <row r="361" spans="1:19" x14ac:dyDescent="0.3">
      <c r="A361" s="1" t="s">
        <v>19</v>
      </c>
      <c r="B361" s="1" t="s">
        <v>842</v>
      </c>
      <c r="C361" s="1" t="s">
        <v>843</v>
      </c>
      <c r="D361" s="1" t="s">
        <v>861</v>
      </c>
      <c r="E361" s="1" t="s">
        <v>824</v>
      </c>
      <c r="F361" s="1" t="s">
        <v>22</v>
      </c>
      <c r="G361" s="1" t="s">
        <v>23</v>
      </c>
      <c r="H361">
        <v>10110101</v>
      </c>
      <c r="I361" s="1" t="s">
        <v>862</v>
      </c>
      <c r="J361">
        <v>45</v>
      </c>
      <c r="K361">
        <v>45</v>
      </c>
      <c r="L361" s="1" t="s">
        <v>816</v>
      </c>
      <c r="M361" s="1" t="s">
        <v>818</v>
      </c>
      <c r="N361">
        <v>47.520940000000003</v>
      </c>
      <c r="O361">
        <v>-101.76239</v>
      </c>
      <c r="P361" s="1" t="s">
        <v>25</v>
      </c>
      <c r="Q361" s="1" t="s">
        <v>26</v>
      </c>
      <c r="R361" s="1" t="s">
        <v>824</v>
      </c>
      <c r="S361" s="2">
        <v>1214.02</v>
      </c>
    </row>
    <row r="362" spans="1:19" x14ac:dyDescent="0.3">
      <c r="A362" s="1" t="s">
        <v>19</v>
      </c>
      <c r="B362" s="1" t="s">
        <v>842</v>
      </c>
      <c r="C362" s="1" t="s">
        <v>843</v>
      </c>
      <c r="D362" s="1" t="s">
        <v>863</v>
      </c>
      <c r="E362" s="1" t="s">
        <v>824</v>
      </c>
      <c r="F362" s="1" t="s">
        <v>22</v>
      </c>
      <c r="G362" s="1" t="s">
        <v>23</v>
      </c>
      <c r="H362">
        <v>10110101</v>
      </c>
      <c r="I362" s="1" t="s">
        <v>864</v>
      </c>
      <c r="J362">
        <v>45</v>
      </c>
      <c r="K362">
        <v>45</v>
      </c>
      <c r="L362" s="1" t="s">
        <v>816</v>
      </c>
      <c r="M362" s="1" t="s">
        <v>832</v>
      </c>
      <c r="N362">
        <v>47.569090000000003</v>
      </c>
      <c r="O362">
        <v>-102.11385</v>
      </c>
      <c r="P362" s="1" t="s">
        <v>25</v>
      </c>
      <c r="Q362" s="1" t="s">
        <v>26</v>
      </c>
      <c r="R362" s="1" t="s">
        <v>824</v>
      </c>
      <c r="S362" s="2">
        <v>1214.02</v>
      </c>
    </row>
    <row r="363" spans="1:19" x14ac:dyDescent="0.3">
      <c r="A363" s="1" t="s">
        <v>19</v>
      </c>
      <c r="B363" s="1" t="s">
        <v>842</v>
      </c>
      <c r="C363" s="1" t="s">
        <v>843</v>
      </c>
      <c r="D363" s="1" t="s">
        <v>865</v>
      </c>
      <c r="E363" s="1" t="s">
        <v>824</v>
      </c>
      <c r="F363" s="1" t="s">
        <v>22</v>
      </c>
      <c r="G363" s="1" t="s">
        <v>23</v>
      </c>
      <c r="H363">
        <v>10110101</v>
      </c>
      <c r="I363" s="1" t="s">
        <v>866</v>
      </c>
      <c r="J363">
        <v>45</v>
      </c>
      <c r="K363">
        <v>45</v>
      </c>
      <c r="L363" s="1" t="s">
        <v>816</v>
      </c>
      <c r="M363" s="1" t="s">
        <v>835</v>
      </c>
      <c r="N363">
        <v>47.714230000000001</v>
      </c>
      <c r="O363">
        <v>-102.26139000000001</v>
      </c>
      <c r="P363" s="1" t="s">
        <v>25</v>
      </c>
      <c r="Q363" s="1" t="s">
        <v>26</v>
      </c>
      <c r="R363" s="1" t="s">
        <v>824</v>
      </c>
      <c r="S363" s="2">
        <v>1214.02</v>
      </c>
    </row>
    <row r="364" spans="1:19" x14ac:dyDescent="0.3">
      <c r="A364" s="1" t="s">
        <v>19</v>
      </c>
      <c r="B364" s="1" t="s">
        <v>842</v>
      </c>
      <c r="C364" s="1" t="s">
        <v>843</v>
      </c>
      <c r="D364" s="1" t="s">
        <v>869</v>
      </c>
      <c r="E364" s="1" t="s">
        <v>824</v>
      </c>
      <c r="F364" s="1" t="s">
        <v>22</v>
      </c>
      <c r="G364" s="1" t="s">
        <v>23</v>
      </c>
      <c r="H364">
        <v>10110101</v>
      </c>
      <c r="I364" s="1" t="s">
        <v>870</v>
      </c>
      <c r="J364">
        <v>45</v>
      </c>
      <c r="K364">
        <v>45</v>
      </c>
      <c r="L364" s="1" t="s">
        <v>816</v>
      </c>
      <c r="M364" s="1" t="s">
        <v>841</v>
      </c>
      <c r="N364">
        <v>47.973529999999997</v>
      </c>
      <c r="O364">
        <v>-102.56473</v>
      </c>
      <c r="P364" s="1" t="s">
        <v>25</v>
      </c>
      <c r="Q364" s="1" t="s">
        <v>26</v>
      </c>
      <c r="R364" s="1" t="s">
        <v>824</v>
      </c>
      <c r="S364" s="2">
        <v>1214.02</v>
      </c>
    </row>
    <row r="365" spans="1:19" x14ac:dyDescent="0.3">
      <c r="A365" s="1" t="s">
        <v>19</v>
      </c>
      <c r="B365" s="1" t="s">
        <v>692</v>
      </c>
      <c r="C365" s="1" t="s">
        <v>693</v>
      </c>
      <c r="D365" s="1" t="s">
        <v>701</v>
      </c>
      <c r="E365" s="1" t="s">
        <v>702</v>
      </c>
      <c r="F365" s="1" t="s">
        <v>22</v>
      </c>
      <c r="G365" s="1" t="s">
        <v>23</v>
      </c>
      <c r="H365">
        <v>10040104</v>
      </c>
      <c r="I365" s="1" t="s">
        <v>703</v>
      </c>
      <c r="J365">
        <v>45</v>
      </c>
      <c r="K365">
        <v>45</v>
      </c>
      <c r="L365" s="1" t="s">
        <v>683</v>
      </c>
      <c r="M365" s="1" t="s">
        <v>704</v>
      </c>
      <c r="N365">
        <v>47.743969999999997</v>
      </c>
      <c r="O365">
        <v>-106.2958</v>
      </c>
      <c r="P365" s="1" t="s">
        <v>25</v>
      </c>
      <c r="Q365" s="1" t="s">
        <v>26</v>
      </c>
      <c r="R365" s="1" t="s">
        <v>697</v>
      </c>
      <c r="S365" s="2">
        <v>912.18100000000004</v>
      </c>
    </row>
    <row r="366" spans="1:19" x14ac:dyDescent="0.3">
      <c r="A366" s="1" t="s">
        <v>19</v>
      </c>
      <c r="B366" s="1" t="s">
        <v>1233</v>
      </c>
      <c r="C366" s="1" t="s">
        <v>1234</v>
      </c>
      <c r="D366" s="1" t="s">
        <v>1351</v>
      </c>
      <c r="E366" s="1" t="s">
        <v>1352</v>
      </c>
      <c r="F366" s="1" t="s">
        <v>22</v>
      </c>
      <c r="G366" s="1" t="s">
        <v>23</v>
      </c>
      <c r="H366">
        <v>12020005</v>
      </c>
      <c r="I366" s="1" t="s">
        <v>1353</v>
      </c>
      <c r="J366">
        <v>45</v>
      </c>
      <c r="K366">
        <v>45</v>
      </c>
      <c r="L366" s="1" t="s">
        <v>1232</v>
      </c>
      <c r="M366" s="1" t="s">
        <v>1272</v>
      </c>
      <c r="N366">
        <v>31.291899999999998</v>
      </c>
      <c r="O366">
        <v>-94.326400000000007</v>
      </c>
      <c r="P366" s="1" t="s">
        <v>25</v>
      </c>
      <c r="Q366" s="1" t="s">
        <v>1594</v>
      </c>
      <c r="R366" s="1" t="s">
        <v>1273</v>
      </c>
      <c r="S366" s="2">
        <v>439.49200000000002</v>
      </c>
    </row>
    <row r="367" spans="1:19" x14ac:dyDescent="0.3">
      <c r="A367" s="1" t="s">
        <v>19</v>
      </c>
      <c r="B367" s="1" t="s">
        <v>1233</v>
      </c>
      <c r="C367" s="1" t="s">
        <v>1234</v>
      </c>
      <c r="D367" s="1" t="s">
        <v>1235</v>
      </c>
      <c r="E367" s="1" t="s">
        <v>1236</v>
      </c>
      <c r="F367" s="1" t="s">
        <v>22</v>
      </c>
      <c r="G367" s="1" t="s">
        <v>23</v>
      </c>
      <c r="H367">
        <v>11130210</v>
      </c>
      <c r="I367" s="1" t="s">
        <v>1237</v>
      </c>
      <c r="J367">
        <v>45</v>
      </c>
      <c r="K367">
        <v>45</v>
      </c>
      <c r="L367" s="1" t="s">
        <v>1232</v>
      </c>
      <c r="M367" s="1" t="s">
        <v>1238</v>
      </c>
      <c r="N367">
        <v>33.85</v>
      </c>
      <c r="O367">
        <v>-96.788300000000007</v>
      </c>
      <c r="P367" s="1" t="s">
        <v>25</v>
      </c>
      <c r="Q367" s="1" t="s">
        <v>26</v>
      </c>
      <c r="R367" s="1" t="s">
        <v>1239</v>
      </c>
      <c r="S367" s="2">
        <v>341.50400000000002</v>
      </c>
    </row>
    <row r="368" spans="1:19" x14ac:dyDescent="0.3">
      <c r="A368" s="1" t="s">
        <v>19</v>
      </c>
      <c r="B368" s="1" t="s">
        <v>1233</v>
      </c>
      <c r="C368" s="1" t="s">
        <v>1234</v>
      </c>
      <c r="D368" s="1" t="s">
        <v>1383</v>
      </c>
      <c r="E368" s="1" t="s">
        <v>1384</v>
      </c>
      <c r="F368" s="1" t="s">
        <v>22</v>
      </c>
      <c r="G368" s="1" t="s">
        <v>23</v>
      </c>
      <c r="H368">
        <v>11130210</v>
      </c>
      <c r="I368" s="1" t="s">
        <v>1385</v>
      </c>
      <c r="J368">
        <v>45</v>
      </c>
      <c r="K368">
        <v>45</v>
      </c>
      <c r="L368" s="1" t="s">
        <v>1232</v>
      </c>
      <c r="M368" s="1" t="s">
        <v>1238</v>
      </c>
      <c r="N368">
        <v>33.848399999999998</v>
      </c>
      <c r="O368">
        <v>-96.661900000000003</v>
      </c>
      <c r="P368" s="1" t="s">
        <v>25</v>
      </c>
      <c r="Q368" s="1" t="s">
        <v>26</v>
      </c>
      <c r="R368" s="1" t="s">
        <v>1239</v>
      </c>
      <c r="S368" s="2">
        <v>341.50400000000002</v>
      </c>
    </row>
    <row r="369" spans="1:19" x14ac:dyDescent="0.3">
      <c r="A369" s="1" t="s">
        <v>19</v>
      </c>
      <c r="B369" s="1" t="s">
        <v>90</v>
      </c>
      <c r="C369" s="1" t="s">
        <v>91</v>
      </c>
      <c r="D369" s="1" t="s">
        <v>92</v>
      </c>
      <c r="E369" s="1" t="s">
        <v>93</v>
      </c>
      <c r="F369" s="1" t="s">
        <v>61</v>
      </c>
      <c r="G369" s="1" t="s">
        <v>23</v>
      </c>
      <c r="H369">
        <v>18020116</v>
      </c>
      <c r="I369" s="1" t="s">
        <v>94</v>
      </c>
      <c r="J369">
        <v>45</v>
      </c>
      <c r="K369">
        <v>45</v>
      </c>
      <c r="L369" s="1" t="s">
        <v>87</v>
      </c>
      <c r="M369" s="1" t="s">
        <v>88</v>
      </c>
      <c r="N369">
        <v>39.029087199999999</v>
      </c>
      <c r="O369">
        <v>-122.8871642</v>
      </c>
      <c r="P369" s="1" t="s">
        <v>25</v>
      </c>
      <c r="Q369" s="1" t="s">
        <v>26</v>
      </c>
      <c r="R369" s="1" t="s">
        <v>89</v>
      </c>
      <c r="S369" s="2">
        <v>159.102</v>
      </c>
    </row>
    <row r="370" spans="1:19" x14ac:dyDescent="0.3">
      <c r="A370" s="1" t="s">
        <v>19</v>
      </c>
      <c r="B370" s="1" t="s">
        <v>90</v>
      </c>
      <c r="C370" s="1" t="s">
        <v>91</v>
      </c>
      <c r="D370" s="1" t="s">
        <v>95</v>
      </c>
      <c r="E370" s="1" t="s">
        <v>96</v>
      </c>
      <c r="F370" s="1" t="s">
        <v>61</v>
      </c>
      <c r="G370" s="1" t="s">
        <v>23</v>
      </c>
      <c r="H370">
        <v>18020116</v>
      </c>
      <c r="I370" s="1" t="s">
        <v>97</v>
      </c>
      <c r="J370">
        <v>45</v>
      </c>
      <c r="K370">
        <v>45</v>
      </c>
      <c r="L370" s="1" t="s">
        <v>87</v>
      </c>
      <c r="M370" s="1" t="s">
        <v>88</v>
      </c>
      <c r="N370">
        <v>39.028796100000001</v>
      </c>
      <c r="O370">
        <v>-122.8847631</v>
      </c>
      <c r="P370" s="1" t="s">
        <v>25</v>
      </c>
      <c r="Q370" s="1" t="s">
        <v>26</v>
      </c>
      <c r="R370" s="1" t="s">
        <v>89</v>
      </c>
      <c r="S370" s="2">
        <v>159.102</v>
      </c>
    </row>
    <row r="371" spans="1:19" x14ac:dyDescent="0.3">
      <c r="A371" s="1" t="s">
        <v>19</v>
      </c>
      <c r="B371" s="1" t="s">
        <v>1233</v>
      </c>
      <c r="C371" s="1" t="s">
        <v>1234</v>
      </c>
      <c r="D371" s="1" t="s">
        <v>1316</v>
      </c>
      <c r="E371" s="1" t="s">
        <v>1317</v>
      </c>
      <c r="F371" s="1" t="s">
        <v>22</v>
      </c>
      <c r="G371" s="1" t="s">
        <v>23</v>
      </c>
      <c r="H371">
        <v>12030103</v>
      </c>
      <c r="I371" s="1" t="s">
        <v>1318</v>
      </c>
      <c r="J371">
        <v>45</v>
      </c>
      <c r="K371">
        <v>45</v>
      </c>
      <c r="L371" s="1" t="s">
        <v>1232</v>
      </c>
      <c r="M371" s="1" t="s">
        <v>1319</v>
      </c>
      <c r="N371">
        <v>33.419199999999996</v>
      </c>
      <c r="O371">
        <v>-96.998099999999994</v>
      </c>
      <c r="P371" s="1" t="s">
        <v>25</v>
      </c>
      <c r="Q371" s="1" t="s">
        <v>26</v>
      </c>
      <c r="R371" s="1" t="s">
        <v>1312</v>
      </c>
      <c r="S371" s="2">
        <v>107.908</v>
      </c>
    </row>
    <row r="372" spans="1:19" x14ac:dyDescent="0.3">
      <c r="A372" s="1" t="s">
        <v>19</v>
      </c>
      <c r="B372" s="1" t="s">
        <v>842</v>
      </c>
      <c r="C372" s="1" t="s">
        <v>843</v>
      </c>
      <c r="D372" s="1" t="s">
        <v>867</v>
      </c>
      <c r="E372" s="1" t="s">
        <v>824</v>
      </c>
      <c r="F372" s="1" t="s">
        <v>22</v>
      </c>
      <c r="G372" s="1" t="s">
        <v>23</v>
      </c>
      <c r="H372">
        <v>10110101</v>
      </c>
      <c r="I372" s="1" t="s">
        <v>868</v>
      </c>
      <c r="J372">
        <v>44</v>
      </c>
      <c r="K372">
        <v>44</v>
      </c>
      <c r="L372" s="1" t="s">
        <v>816</v>
      </c>
      <c r="M372" s="1" t="s">
        <v>835</v>
      </c>
      <c r="N372">
        <v>47.779919999999997</v>
      </c>
      <c r="O372">
        <v>-102.3633</v>
      </c>
      <c r="P372" s="1" t="s">
        <v>25</v>
      </c>
      <c r="Q372" s="1" t="s">
        <v>26</v>
      </c>
      <c r="R372" s="1" t="s">
        <v>824</v>
      </c>
      <c r="S372" s="2">
        <v>1214.02</v>
      </c>
    </row>
    <row r="373" spans="1:19" x14ac:dyDescent="0.3">
      <c r="A373" s="1" t="s">
        <v>19</v>
      </c>
      <c r="B373" s="1" t="s">
        <v>1233</v>
      </c>
      <c r="C373" s="1" t="s">
        <v>1234</v>
      </c>
      <c r="D373" s="1" t="s">
        <v>1354</v>
      </c>
      <c r="E373" s="1" t="s">
        <v>1355</v>
      </c>
      <c r="F373" s="1" t="s">
        <v>22</v>
      </c>
      <c r="G373" s="1" t="s">
        <v>23</v>
      </c>
      <c r="H373">
        <v>12020005</v>
      </c>
      <c r="I373" s="1" t="s">
        <v>1356</v>
      </c>
      <c r="J373">
        <v>44</v>
      </c>
      <c r="K373">
        <v>44</v>
      </c>
      <c r="L373" s="1" t="s">
        <v>1232</v>
      </c>
      <c r="M373" s="1" t="s">
        <v>1277</v>
      </c>
      <c r="N373">
        <v>31.285</v>
      </c>
      <c r="O373">
        <v>-94.387</v>
      </c>
      <c r="P373" s="1" t="s">
        <v>25</v>
      </c>
      <c r="Q373" s="1" t="s">
        <v>1594</v>
      </c>
      <c r="R373" s="1" t="s">
        <v>1273</v>
      </c>
      <c r="S373" s="2">
        <v>439.49200000000002</v>
      </c>
    </row>
    <row r="374" spans="1:19" x14ac:dyDescent="0.3">
      <c r="A374" s="1" t="s">
        <v>19</v>
      </c>
      <c r="B374" s="1" t="s">
        <v>1233</v>
      </c>
      <c r="C374" s="1" t="s">
        <v>1234</v>
      </c>
      <c r="D374" s="1" t="s">
        <v>1284</v>
      </c>
      <c r="E374" s="1" t="s">
        <v>1285</v>
      </c>
      <c r="F374" s="1" t="s">
        <v>22</v>
      </c>
      <c r="G374" s="1" t="s">
        <v>23</v>
      </c>
      <c r="H374">
        <v>12030202</v>
      </c>
      <c r="I374" s="1" t="s">
        <v>1286</v>
      </c>
      <c r="J374">
        <v>44</v>
      </c>
      <c r="K374">
        <v>44</v>
      </c>
      <c r="L374" s="1" t="s">
        <v>1232</v>
      </c>
      <c r="M374" s="1" t="s">
        <v>1287</v>
      </c>
      <c r="N374">
        <v>30.65</v>
      </c>
      <c r="O374">
        <v>-95.041700000000006</v>
      </c>
      <c r="P374" s="1" t="s">
        <v>25</v>
      </c>
      <c r="Q374" s="1" t="s">
        <v>26</v>
      </c>
      <c r="R374" s="1" t="s">
        <v>1288</v>
      </c>
      <c r="S374" s="2">
        <v>302.84300000000002</v>
      </c>
    </row>
    <row r="375" spans="1:19" x14ac:dyDescent="0.3">
      <c r="A375" s="1" t="s">
        <v>19</v>
      </c>
      <c r="B375" s="1" t="s">
        <v>749</v>
      </c>
      <c r="C375" s="1" t="s">
        <v>750</v>
      </c>
      <c r="D375" s="1" t="s">
        <v>754</v>
      </c>
      <c r="E375" s="1" t="s">
        <v>755</v>
      </c>
      <c r="F375" s="1" t="s">
        <v>61</v>
      </c>
      <c r="G375" s="1" t="s">
        <v>23</v>
      </c>
      <c r="H375">
        <v>16050304</v>
      </c>
      <c r="I375" s="1" t="s">
        <v>756</v>
      </c>
      <c r="J375">
        <v>44</v>
      </c>
      <c r="K375">
        <v>44</v>
      </c>
      <c r="L375" s="1" t="s">
        <v>723</v>
      </c>
      <c r="M375" s="1" t="s">
        <v>738</v>
      </c>
      <c r="N375">
        <v>38.650829299999998</v>
      </c>
      <c r="O375">
        <v>-118.71469879999999</v>
      </c>
      <c r="P375" s="1" t="s">
        <v>25</v>
      </c>
      <c r="Q375" s="1" t="s">
        <v>26</v>
      </c>
      <c r="R375" s="1" t="s">
        <v>739</v>
      </c>
      <c r="S375" s="2">
        <v>142.54</v>
      </c>
    </row>
    <row r="376" spans="1:19" x14ac:dyDescent="0.3">
      <c r="A376" s="1" t="s">
        <v>62</v>
      </c>
      <c r="B376" s="1" t="s">
        <v>1398</v>
      </c>
      <c r="C376" s="1" t="s">
        <v>1399</v>
      </c>
      <c r="D376" s="1" t="s">
        <v>1400</v>
      </c>
      <c r="E376" s="1" t="s">
        <v>1401</v>
      </c>
      <c r="F376" s="1" t="s">
        <v>23</v>
      </c>
      <c r="G376" s="1" t="s">
        <v>23</v>
      </c>
      <c r="H376">
        <v>16020310</v>
      </c>
      <c r="I376" s="1" t="s">
        <v>1402</v>
      </c>
      <c r="J376">
        <v>43</v>
      </c>
      <c r="K376">
        <v>43</v>
      </c>
      <c r="L376" s="1" t="s">
        <v>1403</v>
      </c>
      <c r="M376" s="1" t="s">
        <v>364</v>
      </c>
      <c r="N376">
        <v>40.898829999999997</v>
      </c>
      <c r="O376">
        <v>-112.3496756</v>
      </c>
      <c r="P376" s="1" t="s">
        <v>25</v>
      </c>
      <c r="Q376" s="1" t="s">
        <v>26</v>
      </c>
      <c r="R376" s="1" t="s">
        <v>1404</v>
      </c>
      <c r="S376" s="2">
        <v>4443.97</v>
      </c>
    </row>
    <row r="377" spans="1:19" x14ac:dyDescent="0.3">
      <c r="A377" s="1" t="s">
        <v>19</v>
      </c>
      <c r="B377" s="1" t="s">
        <v>643</v>
      </c>
      <c r="C377" s="1" t="s">
        <v>644</v>
      </c>
      <c r="D377" s="1" t="s">
        <v>666</v>
      </c>
      <c r="E377" s="1" t="s">
        <v>667</v>
      </c>
      <c r="F377" s="1" t="s">
        <v>61</v>
      </c>
      <c r="G377" s="1" t="s">
        <v>23</v>
      </c>
      <c r="H377">
        <v>9020302</v>
      </c>
      <c r="I377" s="1" t="s">
        <v>668</v>
      </c>
      <c r="J377">
        <v>42</v>
      </c>
      <c r="K377">
        <v>43</v>
      </c>
      <c r="L377" s="1" t="s">
        <v>582</v>
      </c>
      <c r="M377" s="1" t="s">
        <v>648</v>
      </c>
      <c r="N377">
        <v>48.161391700000003</v>
      </c>
      <c r="O377">
        <v>-94.633891700000007</v>
      </c>
      <c r="P377" s="1" t="s">
        <v>25</v>
      </c>
      <c r="Q377" s="1" t="s">
        <v>26</v>
      </c>
      <c r="R377" s="1" t="s">
        <v>665</v>
      </c>
      <c r="S377" s="2">
        <v>482.39800000000002</v>
      </c>
    </row>
    <row r="378" spans="1:19" x14ac:dyDescent="0.3">
      <c r="A378" s="1" t="s">
        <v>19</v>
      </c>
      <c r="B378" s="1" t="s">
        <v>141</v>
      </c>
      <c r="C378" s="1" t="s">
        <v>142</v>
      </c>
      <c r="D378" s="1" t="s">
        <v>169</v>
      </c>
      <c r="E378" s="1" t="s">
        <v>170</v>
      </c>
      <c r="F378" s="1" t="s">
        <v>61</v>
      </c>
      <c r="G378" s="1" t="s">
        <v>23</v>
      </c>
      <c r="H378">
        <v>3080101</v>
      </c>
      <c r="I378" s="1" t="s">
        <v>171</v>
      </c>
      <c r="J378">
        <v>43</v>
      </c>
      <c r="K378">
        <v>43</v>
      </c>
      <c r="L378" s="1" t="s">
        <v>127</v>
      </c>
      <c r="M378" s="1" t="s">
        <v>172</v>
      </c>
      <c r="N378">
        <v>29.2393888</v>
      </c>
      <c r="O378">
        <v>-81.583444400000005</v>
      </c>
      <c r="P378" s="1" t="s">
        <v>25</v>
      </c>
      <c r="Q378" s="1" t="s">
        <v>26</v>
      </c>
      <c r="R378" s="1" t="s">
        <v>173</v>
      </c>
      <c r="S378" s="2">
        <v>214.29</v>
      </c>
    </row>
    <row r="379" spans="1:19" x14ac:dyDescent="0.3">
      <c r="A379" s="1" t="s">
        <v>19</v>
      </c>
      <c r="B379" s="1" t="s">
        <v>141</v>
      </c>
      <c r="C379" s="1" t="s">
        <v>142</v>
      </c>
      <c r="D379" s="1" t="s">
        <v>174</v>
      </c>
      <c r="E379" s="1" t="s">
        <v>175</v>
      </c>
      <c r="F379" s="1" t="s">
        <v>61</v>
      </c>
      <c r="G379" s="1" t="s">
        <v>23</v>
      </c>
      <c r="H379">
        <v>3080101</v>
      </c>
      <c r="I379" s="1" t="s">
        <v>176</v>
      </c>
      <c r="J379">
        <v>43</v>
      </c>
      <c r="K379">
        <v>43</v>
      </c>
      <c r="L379" s="1" t="s">
        <v>127</v>
      </c>
      <c r="M379" s="1" t="s">
        <v>172</v>
      </c>
      <c r="N379">
        <v>29.2393888</v>
      </c>
      <c r="O379">
        <v>-81.583444400000005</v>
      </c>
      <c r="P379" s="1" t="s">
        <v>25</v>
      </c>
      <c r="Q379" s="1" t="s">
        <v>26</v>
      </c>
      <c r="R379" s="1" t="s">
        <v>173</v>
      </c>
      <c r="S379" s="2">
        <v>214.29</v>
      </c>
    </row>
    <row r="380" spans="1:19" x14ac:dyDescent="0.3">
      <c r="A380" s="1" t="s">
        <v>19</v>
      </c>
      <c r="B380" s="1" t="s">
        <v>141</v>
      </c>
      <c r="C380" s="1" t="s">
        <v>142</v>
      </c>
      <c r="D380" s="1" t="s">
        <v>177</v>
      </c>
      <c r="E380" s="1" t="s">
        <v>178</v>
      </c>
      <c r="F380" s="1" t="s">
        <v>61</v>
      </c>
      <c r="G380" s="1" t="s">
        <v>23</v>
      </c>
      <c r="H380">
        <v>3080101</v>
      </c>
      <c r="I380" s="1" t="s">
        <v>179</v>
      </c>
      <c r="J380">
        <v>43</v>
      </c>
      <c r="K380">
        <v>43</v>
      </c>
      <c r="L380" s="1" t="s">
        <v>127</v>
      </c>
      <c r="M380" s="1" t="s">
        <v>172</v>
      </c>
      <c r="N380">
        <v>29.2393888</v>
      </c>
      <c r="O380">
        <v>-81.583444400000005</v>
      </c>
      <c r="P380" s="1" t="s">
        <v>25</v>
      </c>
      <c r="Q380" s="1" t="s">
        <v>26</v>
      </c>
      <c r="R380" s="1" t="s">
        <v>173</v>
      </c>
      <c r="S380" s="2">
        <v>214.29</v>
      </c>
    </row>
    <row r="381" spans="1:19" x14ac:dyDescent="0.3">
      <c r="A381" s="1" t="s">
        <v>19</v>
      </c>
      <c r="B381" s="1" t="s">
        <v>90</v>
      </c>
      <c r="C381" s="1" t="s">
        <v>91</v>
      </c>
      <c r="D381" s="1" t="s">
        <v>113</v>
      </c>
      <c r="E381" s="1" t="s">
        <v>114</v>
      </c>
      <c r="F381" s="1" t="s">
        <v>61</v>
      </c>
      <c r="G381" s="1" t="s">
        <v>23</v>
      </c>
      <c r="H381">
        <v>18020116</v>
      </c>
      <c r="I381" s="1" t="s">
        <v>115</v>
      </c>
      <c r="J381">
        <v>43</v>
      </c>
      <c r="K381">
        <v>43</v>
      </c>
      <c r="L381" s="1" t="s">
        <v>87</v>
      </c>
      <c r="M381" s="1" t="s">
        <v>88</v>
      </c>
      <c r="N381">
        <v>39.009399999999999</v>
      </c>
      <c r="O381">
        <v>-122.673839</v>
      </c>
      <c r="P381" s="1" t="s">
        <v>25</v>
      </c>
      <c r="Q381" s="1" t="s">
        <v>26</v>
      </c>
      <c r="R381" s="1" t="s">
        <v>89</v>
      </c>
      <c r="S381" s="2">
        <v>159.102</v>
      </c>
    </row>
    <row r="382" spans="1:19" x14ac:dyDescent="0.3">
      <c r="A382" s="1" t="s">
        <v>19</v>
      </c>
      <c r="B382" s="1" t="s">
        <v>1233</v>
      </c>
      <c r="C382" s="1" t="s">
        <v>1234</v>
      </c>
      <c r="D382" s="1" t="s">
        <v>1266</v>
      </c>
      <c r="E382" s="1" t="s">
        <v>1267</v>
      </c>
      <c r="F382" s="1" t="s">
        <v>22</v>
      </c>
      <c r="G382" s="1" t="s">
        <v>23</v>
      </c>
      <c r="H382">
        <v>12010001</v>
      </c>
      <c r="I382" s="1" t="s">
        <v>1268</v>
      </c>
      <c r="J382">
        <v>43</v>
      </c>
      <c r="K382">
        <v>43</v>
      </c>
      <c r="L382" s="1" t="s">
        <v>1232</v>
      </c>
      <c r="M382" s="1" t="s">
        <v>1265</v>
      </c>
      <c r="N382">
        <v>32.905999999999999</v>
      </c>
      <c r="O382">
        <v>-95.983000000000004</v>
      </c>
      <c r="P382" s="1" t="s">
        <v>25</v>
      </c>
      <c r="Q382" s="1" t="s">
        <v>26</v>
      </c>
      <c r="R382" s="1" t="s">
        <v>1261</v>
      </c>
      <c r="S382" s="2">
        <v>146.791</v>
      </c>
    </row>
    <row r="383" spans="1:19" x14ac:dyDescent="0.3">
      <c r="A383" s="1" t="s">
        <v>19</v>
      </c>
      <c r="B383" s="1" t="s">
        <v>334</v>
      </c>
      <c r="C383" s="1" t="s">
        <v>335</v>
      </c>
      <c r="D383" s="1" t="s">
        <v>351</v>
      </c>
      <c r="E383" s="1" t="s">
        <v>352</v>
      </c>
      <c r="F383" s="1" t="s">
        <v>22</v>
      </c>
      <c r="G383" s="1" t="s">
        <v>23</v>
      </c>
      <c r="H383">
        <v>17050123</v>
      </c>
      <c r="I383" s="1" t="s">
        <v>353</v>
      </c>
      <c r="J383">
        <v>43</v>
      </c>
      <c r="K383">
        <v>43</v>
      </c>
      <c r="L383" s="1" t="s">
        <v>332</v>
      </c>
      <c r="M383" s="1" t="s">
        <v>333</v>
      </c>
      <c r="N383">
        <v>44.677777800000001</v>
      </c>
      <c r="O383">
        <v>-116.0819444</v>
      </c>
      <c r="P383" s="1" t="s">
        <v>25</v>
      </c>
      <c r="Q383" s="1" t="s">
        <v>1594</v>
      </c>
      <c r="R383" s="1" t="s">
        <v>350</v>
      </c>
      <c r="S383" s="2">
        <v>105.286</v>
      </c>
    </row>
    <row r="384" spans="1:19" x14ac:dyDescent="0.3">
      <c r="A384" s="1" t="s">
        <v>19</v>
      </c>
      <c r="B384" s="1" t="s">
        <v>397</v>
      </c>
      <c r="C384" s="1" t="s">
        <v>398</v>
      </c>
      <c r="D384" s="1" t="s">
        <v>418</v>
      </c>
      <c r="E384" s="1" t="s">
        <v>419</v>
      </c>
      <c r="F384" s="1" t="s">
        <v>61</v>
      </c>
      <c r="G384" s="1" t="s">
        <v>23</v>
      </c>
      <c r="H384">
        <v>4080103</v>
      </c>
      <c r="I384" s="1" t="s">
        <v>420</v>
      </c>
      <c r="J384">
        <v>34</v>
      </c>
      <c r="K384">
        <v>42</v>
      </c>
      <c r="L384" s="1" t="s">
        <v>402</v>
      </c>
      <c r="M384" s="1" t="s">
        <v>417</v>
      </c>
      <c r="N384">
        <v>43.883336999999997</v>
      </c>
      <c r="O384">
        <v>-83.393058999999994</v>
      </c>
      <c r="P384" s="1" t="s">
        <v>25</v>
      </c>
      <c r="Q384" s="1" t="s">
        <v>26</v>
      </c>
      <c r="R384" s="1" t="s">
        <v>404</v>
      </c>
      <c r="S384" s="2">
        <v>2976.93</v>
      </c>
    </row>
    <row r="385" spans="1:19" x14ac:dyDescent="0.3">
      <c r="A385" s="1" t="s">
        <v>19</v>
      </c>
      <c r="B385" s="1" t="s">
        <v>1233</v>
      </c>
      <c r="C385" s="1" t="s">
        <v>1234</v>
      </c>
      <c r="D385" s="1" t="s">
        <v>1289</v>
      </c>
      <c r="E385" s="1" t="s">
        <v>1290</v>
      </c>
      <c r="F385" s="1" t="s">
        <v>22</v>
      </c>
      <c r="G385" s="1" t="s">
        <v>23</v>
      </c>
      <c r="H385">
        <v>12030202</v>
      </c>
      <c r="I385" s="1" t="s">
        <v>1291</v>
      </c>
      <c r="J385">
        <v>42</v>
      </c>
      <c r="K385">
        <v>42</v>
      </c>
      <c r="L385" s="1" t="s">
        <v>1232</v>
      </c>
      <c r="M385" s="1" t="s">
        <v>1287</v>
      </c>
      <c r="N385">
        <v>30.9029031</v>
      </c>
      <c r="O385">
        <v>-95.275796099999994</v>
      </c>
      <c r="P385" s="1" t="s">
        <v>25</v>
      </c>
      <c r="Q385" s="1" t="s">
        <v>26</v>
      </c>
      <c r="R385" s="1" t="s">
        <v>1288</v>
      </c>
      <c r="S385" s="2">
        <v>302.84300000000002</v>
      </c>
    </row>
    <row r="386" spans="1:19" x14ac:dyDescent="0.3">
      <c r="A386" s="1" t="s">
        <v>19</v>
      </c>
      <c r="B386" s="1" t="s">
        <v>1233</v>
      </c>
      <c r="C386" s="1" t="s">
        <v>1234</v>
      </c>
      <c r="D386" s="1" t="s">
        <v>1357</v>
      </c>
      <c r="E386" s="1" t="s">
        <v>1358</v>
      </c>
      <c r="F386" s="1" t="s">
        <v>22</v>
      </c>
      <c r="G386" s="1" t="s">
        <v>23</v>
      </c>
      <c r="H386">
        <v>13040302</v>
      </c>
      <c r="I386" s="1" t="s">
        <v>1359</v>
      </c>
      <c r="J386">
        <v>42</v>
      </c>
      <c r="K386">
        <v>42</v>
      </c>
      <c r="L386" s="1" t="s">
        <v>1232</v>
      </c>
      <c r="M386" s="1" t="s">
        <v>1306</v>
      </c>
      <c r="N386">
        <v>29.601400000000002</v>
      </c>
      <c r="O386">
        <v>-100.9761</v>
      </c>
      <c r="P386" s="1" t="s">
        <v>1301</v>
      </c>
      <c r="Q386" s="1" t="s">
        <v>1594</v>
      </c>
      <c r="R386" s="1" t="s">
        <v>1307</v>
      </c>
      <c r="S386" s="2">
        <v>217.08699999999999</v>
      </c>
    </row>
    <row r="387" spans="1:19" x14ac:dyDescent="0.3">
      <c r="A387" s="1" t="s">
        <v>19</v>
      </c>
      <c r="B387" s="1" t="s">
        <v>1233</v>
      </c>
      <c r="C387" s="1" t="s">
        <v>1234</v>
      </c>
      <c r="D387" s="1" t="s">
        <v>1323</v>
      </c>
      <c r="E387" s="1" t="s">
        <v>1324</v>
      </c>
      <c r="F387" s="1" t="s">
        <v>22</v>
      </c>
      <c r="G387" s="1" t="s">
        <v>23</v>
      </c>
      <c r="H387">
        <v>11140302</v>
      </c>
      <c r="I387" s="1" t="s">
        <v>1325</v>
      </c>
      <c r="J387">
        <v>42</v>
      </c>
      <c r="K387">
        <v>42</v>
      </c>
      <c r="L387" s="1" t="s">
        <v>1232</v>
      </c>
      <c r="M387" s="1" t="s">
        <v>430</v>
      </c>
      <c r="N387">
        <v>33.255299999999998</v>
      </c>
      <c r="O387">
        <v>-94.236400000000003</v>
      </c>
      <c r="P387" s="1" t="s">
        <v>25</v>
      </c>
      <c r="Q387" s="1" t="s">
        <v>26</v>
      </c>
      <c r="R387" s="1" t="s">
        <v>1246</v>
      </c>
      <c r="S387" s="2">
        <v>115.259</v>
      </c>
    </row>
    <row r="388" spans="1:19" x14ac:dyDescent="0.3">
      <c r="A388" s="1" t="s">
        <v>19</v>
      </c>
      <c r="B388" s="1" t="s">
        <v>1123</v>
      </c>
      <c r="C388" s="1" t="s">
        <v>1045</v>
      </c>
      <c r="D388" s="1" t="s">
        <v>1165</v>
      </c>
      <c r="E388" s="1" t="s">
        <v>1166</v>
      </c>
      <c r="F388" s="1" t="s">
        <v>61</v>
      </c>
      <c r="G388" s="1" t="s">
        <v>23</v>
      </c>
      <c r="H388">
        <v>3050201</v>
      </c>
      <c r="I388" s="1" t="s">
        <v>1167</v>
      </c>
      <c r="J388">
        <v>41</v>
      </c>
      <c r="K388">
        <v>41</v>
      </c>
      <c r="L388" s="1" t="s">
        <v>1043</v>
      </c>
      <c r="M388" s="1" t="s">
        <v>1076</v>
      </c>
      <c r="N388">
        <v>33.248199999999997</v>
      </c>
      <c r="O388">
        <v>-79.994900000000001</v>
      </c>
      <c r="P388" s="1" t="s">
        <v>25</v>
      </c>
      <c r="Q388" s="1" t="s">
        <v>26</v>
      </c>
      <c r="R388" s="1" t="s">
        <v>1083</v>
      </c>
      <c r="S388" s="2">
        <v>233.22800000000001</v>
      </c>
    </row>
    <row r="389" spans="1:19" x14ac:dyDescent="0.3">
      <c r="A389" s="1" t="s">
        <v>19</v>
      </c>
      <c r="B389" s="1" t="s">
        <v>20</v>
      </c>
      <c r="C389" s="1" t="s">
        <v>21</v>
      </c>
      <c r="D389" s="1" t="s">
        <v>49</v>
      </c>
      <c r="E389" s="1" t="s">
        <v>50</v>
      </c>
      <c r="F389" s="1" t="s">
        <v>22</v>
      </c>
      <c r="G389" s="1" t="s">
        <v>23</v>
      </c>
      <c r="H389">
        <v>6030002</v>
      </c>
      <c r="I389" s="1" t="s">
        <v>51</v>
      </c>
      <c r="J389">
        <v>41</v>
      </c>
      <c r="K389">
        <v>41</v>
      </c>
      <c r="L389" s="1" t="s">
        <v>24</v>
      </c>
      <c r="M389" s="1" t="s">
        <v>52</v>
      </c>
      <c r="N389">
        <v>34.578439000000003</v>
      </c>
      <c r="O389">
        <v>-86.899420000000006</v>
      </c>
      <c r="P389" s="1" t="s">
        <v>25</v>
      </c>
      <c r="Q389" s="1" t="s">
        <v>26</v>
      </c>
      <c r="R389" s="1" t="s">
        <v>53</v>
      </c>
      <c r="S389" s="2">
        <v>199.803</v>
      </c>
    </row>
    <row r="390" spans="1:19" x14ac:dyDescent="0.3">
      <c r="A390" s="1" t="s">
        <v>19</v>
      </c>
      <c r="B390" s="1" t="s">
        <v>1233</v>
      </c>
      <c r="C390" s="1" t="s">
        <v>1234</v>
      </c>
      <c r="D390" s="1" t="s">
        <v>1344</v>
      </c>
      <c r="E390" s="1" t="s">
        <v>1345</v>
      </c>
      <c r="F390" s="1" t="s">
        <v>22</v>
      </c>
      <c r="G390" s="1" t="s">
        <v>23</v>
      </c>
      <c r="H390">
        <v>11140306</v>
      </c>
      <c r="I390" s="1" t="s">
        <v>1346</v>
      </c>
      <c r="J390">
        <v>41</v>
      </c>
      <c r="K390">
        <v>41</v>
      </c>
      <c r="L390" s="1" t="s">
        <v>1232</v>
      </c>
      <c r="M390" s="1" t="s">
        <v>165</v>
      </c>
      <c r="N390">
        <v>32.704500000000003</v>
      </c>
      <c r="O390">
        <v>-94.113500000000002</v>
      </c>
      <c r="P390" s="1" t="s">
        <v>25</v>
      </c>
      <c r="Q390" s="1" t="s">
        <v>26</v>
      </c>
      <c r="R390" s="1" t="s">
        <v>1250</v>
      </c>
      <c r="S390" s="2">
        <v>103.467</v>
      </c>
    </row>
    <row r="391" spans="1:19" x14ac:dyDescent="0.3">
      <c r="A391" s="1" t="s">
        <v>19</v>
      </c>
      <c r="B391" s="1" t="s">
        <v>643</v>
      </c>
      <c r="C391" s="1" t="s">
        <v>644</v>
      </c>
      <c r="D391" s="1" t="s">
        <v>653</v>
      </c>
      <c r="E391" s="1" t="s">
        <v>654</v>
      </c>
      <c r="F391" s="1" t="s">
        <v>61</v>
      </c>
      <c r="G391" s="1" t="s">
        <v>23</v>
      </c>
      <c r="H391">
        <v>9020302</v>
      </c>
      <c r="I391" s="1" t="s">
        <v>655</v>
      </c>
      <c r="J391">
        <v>40</v>
      </c>
      <c r="K391">
        <v>40</v>
      </c>
      <c r="L391" s="1" t="s">
        <v>582</v>
      </c>
      <c r="M391" s="1" t="s">
        <v>648</v>
      </c>
      <c r="N391">
        <v>47.957508300000001</v>
      </c>
      <c r="O391">
        <v>-94.961391800000001</v>
      </c>
      <c r="P391" s="1" t="s">
        <v>25</v>
      </c>
      <c r="Q391" s="1" t="s">
        <v>26</v>
      </c>
      <c r="R391" s="1" t="s">
        <v>649</v>
      </c>
      <c r="S391" s="2">
        <v>663.31200000000001</v>
      </c>
    </row>
    <row r="392" spans="1:19" x14ac:dyDescent="0.3">
      <c r="A392" s="1" t="s">
        <v>19</v>
      </c>
      <c r="B392" s="1" t="s">
        <v>643</v>
      </c>
      <c r="C392" s="1" t="s">
        <v>644</v>
      </c>
      <c r="D392" s="1" t="s">
        <v>659</v>
      </c>
      <c r="E392" s="1" t="s">
        <v>660</v>
      </c>
      <c r="F392" s="1" t="s">
        <v>61</v>
      </c>
      <c r="G392" s="1" t="s">
        <v>23</v>
      </c>
      <c r="H392">
        <v>9020302</v>
      </c>
      <c r="I392" s="1" t="s">
        <v>661</v>
      </c>
      <c r="J392">
        <v>40</v>
      </c>
      <c r="K392">
        <v>40</v>
      </c>
      <c r="L392" s="1" t="s">
        <v>582</v>
      </c>
      <c r="M392" s="1" t="s">
        <v>648</v>
      </c>
      <c r="N392">
        <v>47.958624899999997</v>
      </c>
      <c r="O392">
        <v>-95.077508499999993</v>
      </c>
      <c r="P392" s="1" t="s">
        <v>25</v>
      </c>
      <c r="Q392" s="1" t="s">
        <v>26</v>
      </c>
      <c r="R392" s="1" t="s">
        <v>649</v>
      </c>
      <c r="S392" s="2">
        <v>663.31200000000001</v>
      </c>
    </row>
    <row r="393" spans="1:19" x14ac:dyDescent="0.3">
      <c r="A393" s="1" t="s">
        <v>19</v>
      </c>
      <c r="B393" s="1" t="s">
        <v>749</v>
      </c>
      <c r="C393" s="1" t="s">
        <v>750</v>
      </c>
      <c r="D393" s="1" t="s">
        <v>760</v>
      </c>
      <c r="E393" s="1" t="s">
        <v>761</v>
      </c>
      <c r="F393" s="1" t="s">
        <v>61</v>
      </c>
      <c r="G393" s="1" t="s">
        <v>23</v>
      </c>
      <c r="H393">
        <v>16050304</v>
      </c>
      <c r="I393" s="1" t="s">
        <v>762</v>
      </c>
      <c r="J393">
        <v>40</v>
      </c>
      <c r="K393">
        <v>40</v>
      </c>
      <c r="L393" s="1" t="s">
        <v>723</v>
      </c>
      <c r="M393" s="1" t="s">
        <v>738</v>
      </c>
      <c r="N393">
        <v>38.700000799999998</v>
      </c>
      <c r="O393">
        <v>-118.72180179999999</v>
      </c>
      <c r="P393" s="1" t="s">
        <v>25</v>
      </c>
      <c r="Q393" s="1" t="s">
        <v>26</v>
      </c>
      <c r="R393" s="1" t="s">
        <v>739</v>
      </c>
      <c r="S393" s="2">
        <v>142.54</v>
      </c>
    </row>
    <row r="394" spans="1:19" x14ac:dyDescent="0.3">
      <c r="A394" s="1" t="s">
        <v>19</v>
      </c>
      <c r="B394" s="1" t="s">
        <v>590</v>
      </c>
      <c r="C394" s="1" t="s">
        <v>591</v>
      </c>
      <c r="D394" s="1" t="s">
        <v>616</v>
      </c>
      <c r="E394" s="1" t="s">
        <v>617</v>
      </c>
      <c r="F394" s="1" t="s">
        <v>61</v>
      </c>
      <c r="G394" s="1" t="s">
        <v>23</v>
      </c>
      <c r="H394">
        <v>7010207</v>
      </c>
      <c r="I394" s="1" t="s">
        <v>618</v>
      </c>
      <c r="J394">
        <v>39</v>
      </c>
      <c r="K394">
        <v>39</v>
      </c>
      <c r="L394" s="1" t="s">
        <v>582</v>
      </c>
      <c r="M394" s="1" t="s">
        <v>606</v>
      </c>
      <c r="N394">
        <v>46.236499999999999</v>
      </c>
      <c r="O394">
        <v>-93.747500000000002</v>
      </c>
      <c r="P394" s="1" t="s">
        <v>25</v>
      </c>
      <c r="Q394" s="1" t="s">
        <v>26</v>
      </c>
      <c r="R394" s="1" t="s">
        <v>596</v>
      </c>
      <c r="S394" s="2">
        <v>511.649</v>
      </c>
    </row>
    <row r="395" spans="1:19" x14ac:dyDescent="0.3">
      <c r="A395" s="1" t="s">
        <v>62</v>
      </c>
      <c r="B395" s="1" t="s">
        <v>942</v>
      </c>
      <c r="C395" s="1" t="s">
        <v>943</v>
      </c>
      <c r="D395" s="1" t="s">
        <v>953</v>
      </c>
      <c r="E395" s="1" t="s">
        <v>954</v>
      </c>
      <c r="F395" s="1" t="s">
        <v>23</v>
      </c>
      <c r="G395" s="1" t="s">
        <v>23</v>
      </c>
      <c r="H395">
        <v>18010203</v>
      </c>
      <c r="I395" s="1" t="s">
        <v>955</v>
      </c>
      <c r="J395">
        <v>39</v>
      </c>
      <c r="K395">
        <v>39</v>
      </c>
      <c r="L395" s="1" t="s">
        <v>947</v>
      </c>
      <c r="M395" s="1" t="s">
        <v>948</v>
      </c>
      <c r="N395">
        <v>42.326388899999998</v>
      </c>
      <c r="O395">
        <v>-121.9199722</v>
      </c>
      <c r="P395" s="1" t="s">
        <v>25</v>
      </c>
      <c r="Q395" s="1" t="s">
        <v>26</v>
      </c>
      <c r="R395" s="1" t="s">
        <v>949</v>
      </c>
      <c r="S395" s="2">
        <v>228.505</v>
      </c>
    </row>
    <row r="396" spans="1:19" x14ac:dyDescent="0.3">
      <c r="A396" s="1" t="s">
        <v>19</v>
      </c>
      <c r="B396" s="1" t="s">
        <v>1233</v>
      </c>
      <c r="C396" s="1" t="s">
        <v>1234</v>
      </c>
      <c r="D396" s="1" t="s">
        <v>1262</v>
      </c>
      <c r="E396" s="1" t="s">
        <v>1263</v>
      </c>
      <c r="F396" s="1" t="s">
        <v>22</v>
      </c>
      <c r="G396" s="1" t="s">
        <v>23</v>
      </c>
      <c r="H396">
        <v>12010001</v>
      </c>
      <c r="I396" s="1" t="s">
        <v>1264</v>
      </c>
      <c r="J396">
        <v>39</v>
      </c>
      <c r="K396">
        <v>39</v>
      </c>
      <c r="L396" s="1" t="s">
        <v>1232</v>
      </c>
      <c r="M396" s="1" t="s">
        <v>1265</v>
      </c>
      <c r="N396">
        <v>32.860900000000001</v>
      </c>
      <c r="O396">
        <v>-96.0672</v>
      </c>
      <c r="P396" s="1" t="s">
        <v>25</v>
      </c>
      <c r="Q396" s="1" t="s">
        <v>26</v>
      </c>
      <c r="R396" s="1" t="s">
        <v>1261</v>
      </c>
      <c r="S396" s="2">
        <v>146.791</v>
      </c>
    </row>
    <row r="397" spans="1:19" x14ac:dyDescent="0.3">
      <c r="A397" s="1" t="s">
        <v>62</v>
      </c>
      <c r="B397" s="1" t="s">
        <v>908</v>
      </c>
      <c r="C397" s="1" t="s">
        <v>909</v>
      </c>
      <c r="D397" s="1" t="s">
        <v>910</v>
      </c>
      <c r="E397" s="1" t="s">
        <v>911</v>
      </c>
      <c r="F397" s="1" t="s">
        <v>23</v>
      </c>
      <c r="G397" s="1" t="s">
        <v>23</v>
      </c>
      <c r="H397">
        <v>4120200</v>
      </c>
      <c r="I397" s="1" t="s">
        <v>912</v>
      </c>
      <c r="J397">
        <v>36</v>
      </c>
      <c r="K397">
        <v>38</v>
      </c>
      <c r="L397" s="1" t="s">
        <v>913</v>
      </c>
      <c r="M397" s="1" t="s">
        <v>914</v>
      </c>
      <c r="N397">
        <v>41.9084444</v>
      </c>
      <c r="O397">
        <v>-80.774627800000005</v>
      </c>
      <c r="P397" s="1" t="s">
        <v>396</v>
      </c>
      <c r="Q397" s="1" t="s">
        <v>26</v>
      </c>
      <c r="R397" s="1" t="s">
        <v>915</v>
      </c>
      <c r="S397" s="2">
        <v>25718.799999999999</v>
      </c>
    </row>
    <row r="398" spans="1:19" x14ac:dyDescent="0.3">
      <c r="A398" s="1" t="s">
        <v>19</v>
      </c>
      <c r="B398" s="1" t="s">
        <v>20</v>
      </c>
      <c r="C398" s="1" t="s">
        <v>21</v>
      </c>
      <c r="D398" s="1" t="s">
        <v>40</v>
      </c>
      <c r="E398" s="1" t="s">
        <v>41</v>
      </c>
      <c r="F398" s="1" t="s">
        <v>22</v>
      </c>
      <c r="G398" s="1" t="s">
        <v>23</v>
      </c>
      <c r="H398">
        <v>3150105</v>
      </c>
      <c r="I398" s="1" t="s">
        <v>42</v>
      </c>
      <c r="J398">
        <v>38</v>
      </c>
      <c r="K398">
        <v>38</v>
      </c>
      <c r="L398" s="1" t="s">
        <v>24</v>
      </c>
      <c r="M398" s="1" t="s">
        <v>30</v>
      </c>
      <c r="N398">
        <v>34.180011</v>
      </c>
      <c r="O398">
        <v>-85.484712999999999</v>
      </c>
      <c r="P398" s="1" t="s">
        <v>25</v>
      </c>
      <c r="Q398" s="1" t="s">
        <v>26</v>
      </c>
      <c r="R398" s="1" t="s">
        <v>31</v>
      </c>
      <c r="S398" s="2">
        <v>116.684</v>
      </c>
    </row>
    <row r="399" spans="1:19" x14ac:dyDescent="0.3">
      <c r="A399" s="1" t="s">
        <v>62</v>
      </c>
      <c r="B399" s="1" t="s">
        <v>942</v>
      </c>
      <c r="C399" s="1" t="s">
        <v>943</v>
      </c>
      <c r="D399" s="1" t="s">
        <v>977</v>
      </c>
      <c r="E399" s="1" t="s">
        <v>978</v>
      </c>
      <c r="F399" s="1" t="s">
        <v>23</v>
      </c>
      <c r="G399" s="1" t="s">
        <v>23</v>
      </c>
      <c r="H399">
        <v>18010203</v>
      </c>
      <c r="I399" s="1" t="s">
        <v>979</v>
      </c>
      <c r="J399">
        <v>37</v>
      </c>
      <c r="K399">
        <v>37</v>
      </c>
      <c r="L399" s="1" t="s">
        <v>947</v>
      </c>
      <c r="M399" s="1" t="s">
        <v>948</v>
      </c>
      <c r="N399">
        <v>42.4775524</v>
      </c>
      <c r="O399">
        <v>-122.05168500000001</v>
      </c>
      <c r="P399" s="1" t="s">
        <v>25</v>
      </c>
      <c r="Q399" s="1" t="s">
        <v>26</v>
      </c>
      <c r="R399" s="1" t="s">
        <v>949</v>
      </c>
      <c r="S399" s="2">
        <v>228.505</v>
      </c>
    </row>
    <row r="400" spans="1:19" x14ac:dyDescent="0.3">
      <c r="A400" s="1" t="s">
        <v>19</v>
      </c>
      <c r="B400" s="1" t="s">
        <v>75</v>
      </c>
      <c r="C400" s="1" t="s">
        <v>76</v>
      </c>
      <c r="D400" s="1" t="s">
        <v>77</v>
      </c>
      <c r="E400" s="1" t="s">
        <v>78</v>
      </c>
      <c r="F400" s="1" t="s">
        <v>22</v>
      </c>
      <c r="G400" s="1" t="s">
        <v>23</v>
      </c>
      <c r="H400">
        <v>11010003</v>
      </c>
      <c r="I400" s="1" t="s">
        <v>79</v>
      </c>
      <c r="J400">
        <v>37</v>
      </c>
      <c r="K400">
        <v>37</v>
      </c>
      <c r="L400" s="1" t="s">
        <v>65</v>
      </c>
      <c r="M400" s="1" t="s">
        <v>80</v>
      </c>
      <c r="N400">
        <v>36.368164</v>
      </c>
      <c r="O400">
        <v>-92.57132</v>
      </c>
      <c r="P400" s="1" t="s">
        <v>25</v>
      </c>
      <c r="Q400" s="1" t="s">
        <v>26</v>
      </c>
      <c r="R400" s="1" t="s">
        <v>81</v>
      </c>
      <c r="S400" s="2">
        <v>153.02000000000001</v>
      </c>
    </row>
    <row r="401" spans="1:19" x14ac:dyDescent="0.3">
      <c r="A401" s="1" t="s">
        <v>19</v>
      </c>
      <c r="B401" s="1" t="s">
        <v>819</v>
      </c>
      <c r="C401" s="1" t="s">
        <v>820</v>
      </c>
      <c r="D401" s="1" t="s">
        <v>825</v>
      </c>
      <c r="E401" s="1" t="s">
        <v>826</v>
      </c>
      <c r="F401" s="1" t="s">
        <v>22</v>
      </c>
      <c r="G401" s="1" t="s">
        <v>23</v>
      </c>
      <c r="H401">
        <v>10110101</v>
      </c>
      <c r="I401" s="1" t="s">
        <v>827</v>
      </c>
      <c r="J401">
        <v>36</v>
      </c>
      <c r="K401">
        <v>36</v>
      </c>
      <c r="L401" s="1" t="s">
        <v>816</v>
      </c>
      <c r="M401" s="1" t="s">
        <v>818</v>
      </c>
      <c r="N401">
        <v>47.551949999999998</v>
      </c>
      <c r="O401">
        <v>-101.515</v>
      </c>
      <c r="P401" s="1" t="s">
        <v>25</v>
      </c>
      <c r="Q401" s="1" t="s">
        <v>26</v>
      </c>
      <c r="R401" s="1" t="s">
        <v>824</v>
      </c>
      <c r="S401" s="2">
        <v>1214.02</v>
      </c>
    </row>
    <row r="402" spans="1:19" x14ac:dyDescent="0.3">
      <c r="A402" s="1" t="s">
        <v>19</v>
      </c>
      <c r="B402" s="1" t="s">
        <v>590</v>
      </c>
      <c r="C402" s="1" t="s">
        <v>591</v>
      </c>
      <c r="D402" s="1" t="s">
        <v>592</v>
      </c>
      <c r="E402" s="1" t="s">
        <v>593</v>
      </c>
      <c r="F402" s="1" t="s">
        <v>61</v>
      </c>
      <c r="G402" s="1" t="s">
        <v>23</v>
      </c>
      <c r="H402">
        <v>7010207</v>
      </c>
      <c r="I402" s="1" t="s">
        <v>594</v>
      </c>
      <c r="J402">
        <v>36</v>
      </c>
      <c r="K402">
        <v>36</v>
      </c>
      <c r="L402" s="1" t="s">
        <v>582</v>
      </c>
      <c r="M402" s="1" t="s">
        <v>595</v>
      </c>
      <c r="N402">
        <v>46.266841999999997</v>
      </c>
      <c r="O402">
        <v>-93.593808999999993</v>
      </c>
      <c r="P402" s="1" t="s">
        <v>25</v>
      </c>
      <c r="Q402" s="1" t="s">
        <v>26</v>
      </c>
      <c r="R402" s="1" t="s">
        <v>596</v>
      </c>
      <c r="S402" s="2">
        <v>511.649</v>
      </c>
    </row>
    <row r="403" spans="1:19" x14ac:dyDescent="0.3">
      <c r="A403" s="1" t="s">
        <v>19</v>
      </c>
      <c r="B403" s="1" t="s">
        <v>590</v>
      </c>
      <c r="C403" s="1" t="s">
        <v>591</v>
      </c>
      <c r="D403" s="1" t="s">
        <v>597</v>
      </c>
      <c r="E403" s="1" t="s">
        <v>598</v>
      </c>
      <c r="F403" s="1" t="s">
        <v>61</v>
      </c>
      <c r="G403" s="1" t="s">
        <v>23</v>
      </c>
      <c r="H403">
        <v>7010207</v>
      </c>
      <c r="I403" s="1" t="s">
        <v>599</v>
      </c>
      <c r="J403">
        <v>36</v>
      </c>
      <c r="K403">
        <v>36</v>
      </c>
      <c r="L403" s="1" t="s">
        <v>582</v>
      </c>
      <c r="M403" s="1" t="s">
        <v>595</v>
      </c>
      <c r="N403">
        <v>46.344866000000003</v>
      </c>
      <c r="O403">
        <v>-93.539845</v>
      </c>
      <c r="P403" s="1" t="s">
        <v>25</v>
      </c>
      <c r="Q403" s="1" t="s">
        <v>26</v>
      </c>
      <c r="R403" s="1" t="s">
        <v>596</v>
      </c>
      <c r="S403" s="2">
        <v>511.649</v>
      </c>
    </row>
    <row r="404" spans="1:19" x14ac:dyDescent="0.3">
      <c r="A404" s="1" t="s">
        <v>19</v>
      </c>
      <c r="B404" s="1" t="s">
        <v>590</v>
      </c>
      <c r="C404" s="1" t="s">
        <v>591</v>
      </c>
      <c r="D404" s="1" t="s">
        <v>600</v>
      </c>
      <c r="E404" s="1" t="s">
        <v>601</v>
      </c>
      <c r="F404" s="1" t="s">
        <v>61</v>
      </c>
      <c r="G404" s="1" t="s">
        <v>23</v>
      </c>
      <c r="H404">
        <v>7010207</v>
      </c>
      <c r="I404" s="1" t="s">
        <v>602</v>
      </c>
      <c r="J404">
        <v>36</v>
      </c>
      <c r="K404">
        <v>36</v>
      </c>
      <c r="L404" s="1" t="s">
        <v>582</v>
      </c>
      <c r="M404" s="1" t="s">
        <v>595</v>
      </c>
      <c r="N404">
        <v>46.307760999999999</v>
      </c>
      <c r="O404">
        <v>-93.808223999999996</v>
      </c>
      <c r="P404" s="1" t="s">
        <v>25</v>
      </c>
      <c r="Q404" s="1" t="s">
        <v>26</v>
      </c>
      <c r="R404" s="1" t="s">
        <v>596</v>
      </c>
      <c r="S404" s="2">
        <v>511.649</v>
      </c>
    </row>
    <row r="405" spans="1:19" x14ac:dyDescent="0.3">
      <c r="A405" s="1" t="s">
        <v>19</v>
      </c>
      <c r="B405" s="1" t="s">
        <v>590</v>
      </c>
      <c r="C405" s="1" t="s">
        <v>591</v>
      </c>
      <c r="D405" s="1" t="s">
        <v>603</v>
      </c>
      <c r="E405" s="1" t="s">
        <v>604</v>
      </c>
      <c r="F405" s="1" t="s">
        <v>61</v>
      </c>
      <c r="G405" s="1" t="s">
        <v>23</v>
      </c>
      <c r="H405">
        <v>7010207</v>
      </c>
      <c r="I405" s="1" t="s">
        <v>605</v>
      </c>
      <c r="J405">
        <v>36</v>
      </c>
      <c r="K405">
        <v>36</v>
      </c>
      <c r="L405" s="1" t="s">
        <v>582</v>
      </c>
      <c r="M405" s="1" t="s">
        <v>606</v>
      </c>
      <c r="N405">
        <v>46.171588</v>
      </c>
      <c r="O405">
        <v>-93.486217999999994</v>
      </c>
      <c r="P405" s="1" t="s">
        <v>25</v>
      </c>
      <c r="Q405" s="1" t="s">
        <v>26</v>
      </c>
      <c r="R405" s="1" t="s">
        <v>596</v>
      </c>
      <c r="S405" s="2">
        <v>511.649</v>
      </c>
    </row>
    <row r="406" spans="1:19" x14ac:dyDescent="0.3">
      <c r="A406" s="1" t="s">
        <v>19</v>
      </c>
      <c r="B406" s="1" t="s">
        <v>590</v>
      </c>
      <c r="C406" s="1" t="s">
        <v>591</v>
      </c>
      <c r="D406" s="1" t="s">
        <v>607</v>
      </c>
      <c r="E406" s="1" t="s">
        <v>608</v>
      </c>
      <c r="F406" s="1" t="s">
        <v>61</v>
      </c>
      <c r="G406" s="1" t="s">
        <v>23</v>
      </c>
      <c r="H406">
        <v>7010207</v>
      </c>
      <c r="I406" s="1" t="s">
        <v>609</v>
      </c>
      <c r="J406">
        <v>36</v>
      </c>
      <c r="K406">
        <v>36</v>
      </c>
      <c r="L406" s="1" t="s">
        <v>582</v>
      </c>
      <c r="M406" s="1" t="s">
        <v>606</v>
      </c>
      <c r="N406">
        <v>46.127499999999998</v>
      </c>
      <c r="O406">
        <v>-93.606499999999997</v>
      </c>
      <c r="P406" s="1" t="s">
        <v>25</v>
      </c>
      <c r="Q406" s="1" t="s">
        <v>26</v>
      </c>
      <c r="R406" s="1" t="s">
        <v>596</v>
      </c>
      <c r="S406" s="2">
        <v>511.649</v>
      </c>
    </row>
    <row r="407" spans="1:19" x14ac:dyDescent="0.3">
      <c r="A407" s="1" t="s">
        <v>19</v>
      </c>
      <c r="B407" s="1" t="s">
        <v>590</v>
      </c>
      <c r="C407" s="1" t="s">
        <v>591</v>
      </c>
      <c r="D407" s="1" t="s">
        <v>613</v>
      </c>
      <c r="E407" s="1" t="s">
        <v>614</v>
      </c>
      <c r="F407" s="1" t="s">
        <v>61</v>
      </c>
      <c r="G407" s="1" t="s">
        <v>23</v>
      </c>
      <c r="H407">
        <v>7010207</v>
      </c>
      <c r="I407" s="1" t="s">
        <v>615</v>
      </c>
      <c r="J407">
        <v>36</v>
      </c>
      <c r="K407">
        <v>36</v>
      </c>
      <c r="L407" s="1" t="s">
        <v>582</v>
      </c>
      <c r="M407" s="1" t="s">
        <v>606</v>
      </c>
      <c r="N407">
        <v>46.228665999999997</v>
      </c>
      <c r="O407">
        <v>-93.776166000000003</v>
      </c>
      <c r="P407" s="1" t="s">
        <v>25</v>
      </c>
      <c r="Q407" s="1" t="s">
        <v>26</v>
      </c>
      <c r="R407" s="1" t="s">
        <v>596</v>
      </c>
      <c r="S407" s="2">
        <v>511.649</v>
      </c>
    </row>
    <row r="408" spans="1:19" x14ac:dyDescent="0.3">
      <c r="A408" s="1" t="s">
        <v>19</v>
      </c>
      <c r="B408" s="1" t="s">
        <v>590</v>
      </c>
      <c r="C408" s="1" t="s">
        <v>591</v>
      </c>
      <c r="D408" s="1" t="s">
        <v>619</v>
      </c>
      <c r="E408" s="1" t="s">
        <v>620</v>
      </c>
      <c r="F408" s="1" t="s">
        <v>61</v>
      </c>
      <c r="G408" s="1" t="s">
        <v>23</v>
      </c>
      <c r="H408">
        <v>7010207</v>
      </c>
      <c r="I408" s="1" t="s">
        <v>621</v>
      </c>
      <c r="J408">
        <v>36</v>
      </c>
      <c r="K408">
        <v>36</v>
      </c>
      <c r="L408" s="1" t="s">
        <v>582</v>
      </c>
      <c r="M408" s="1" t="s">
        <v>595</v>
      </c>
      <c r="N408">
        <v>46.331001999999998</v>
      </c>
      <c r="O408">
        <v>-93.608312999999995</v>
      </c>
      <c r="P408" s="1" t="s">
        <v>25</v>
      </c>
      <c r="Q408" s="1" t="s">
        <v>26</v>
      </c>
      <c r="R408" s="1" t="s">
        <v>596</v>
      </c>
      <c r="S408" s="2">
        <v>511.649</v>
      </c>
    </row>
    <row r="409" spans="1:19" x14ac:dyDescent="0.3">
      <c r="A409" s="1" t="s">
        <v>19</v>
      </c>
      <c r="B409" s="1" t="s">
        <v>590</v>
      </c>
      <c r="C409" s="1" t="s">
        <v>591</v>
      </c>
      <c r="D409" s="1" t="s">
        <v>622</v>
      </c>
      <c r="E409" s="1" t="s">
        <v>623</v>
      </c>
      <c r="F409" s="1" t="s">
        <v>61</v>
      </c>
      <c r="G409" s="1" t="s">
        <v>23</v>
      </c>
      <c r="H409">
        <v>7010207</v>
      </c>
      <c r="I409" s="1" t="s">
        <v>624</v>
      </c>
      <c r="J409">
        <v>36</v>
      </c>
      <c r="K409">
        <v>36</v>
      </c>
      <c r="L409" s="1" t="s">
        <v>582</v>
      </c>
      <c r="M409" s="1" t="s">
        <v>595</v>
      </c>
      <c r="N409">
        <v>46.349303999999997</v>
      </c>
      <c r="O409">
        <v>-93.702797000000004</v>
      </c>
      <c r="P409" s="1" t="s">
        <v>25</v>
      </c>
      <c r="Q409" s="1" t="s">
        <v>26</v>
      </c>
      <c r="R409" s="1" t="s">
        <v>596</v>
      </c>
      <c r="S409" s="2">
        <v>511.649</v>
      </c>
    </row>
    <row r="410" spans="1:19" x14ac:dyDescent="0.3">
      <c r="A410" s="1" t="s">
        <v>19</v>
      </c>
      <c r="B410" s="1" t="s">
        <v>590</v>
      </c>
      <c r="C410" s="1" t="s">
        <v>591</v>
      </c>
      <c r="D410" s="1" t="s">
        <v>625</v>
      </c>
      <c r="E410" s="1" t="s">
        <v>626</v>
      </c>
      <c r="F410" s="1" t="s">
        <v>61</v>
      </c>
      <c r="G410" s="1" t="s">
        <v>23</v>
      </c>
      <c r="H410">
        <v>7010207</v>
      </c>
      <c r="I410" s="1" t="s">
        <v>627</v>
      </c>
      <c r="J410">
        <v>36</v>
      </c>
      <c r="K410">
        <v>36</v>
      </c>
      <c r="L410" s="1" t="s">
        <v>582</v>
      </c>
      <c r="M410" s="1" t="s">
        <v>595</v>
      </c>
      <c r="N410">
        <v>46.297983000000002</v>
      </c>
      <c r="O410">
        <v>-93.754919999999998</v>
      </c>
      <c r="P410" s="1" t="s">
        <v>25</v>
      </c>
      <c r="Q410" s="1" t="s">
        <v>26</v>
      </c>
      <c r="R410" s="1" t="s">
        <v>596</v>
      </c>
      <c r="S410" s="2">
        <v>511.649</v>
      </c>
    </row>
    <row r="411" spans="1:19" x14ac:dyDescent="0.3">
      <c r="A411" s="1" t="s">
        <v>19</v>
      </c>
      <c r="B411" s="1" t="s">
        <v>590</v>
      </c>
      <c r="C411" s="1" t="s">
        <v>591</v>
      </c>
      <c r="D411" s="1" t="s">
        <v>628</v>
      </c>
      <c r="E411" s="1" t="s">
        <v>629</v>
      </c>
      <c r="F411" s="1" t="s">
        <v>61</v>
      </c>
      <c r="G411" s="1" t="s">
        <v>23</v>
      </c>
      <c r="H411">
        <v>7010207</v>
      </c>
      <c r="I411" s="1" t="s">
        <v>630</v>
      </c>
      <c r="J411">
        <v>36</v>
      </c>
      <c r="K411">
        <v>36</v>
      </c>
      <c r="L411" s="1" t="s">
        <v>582</v>
      </c>
      <c r="M411" s="1" t="s">
        <v>606</v>
      </c>
      <c r="N411">
        <v>46.228808000000001</v>
      </c>
      <c r="O411">
        <v>-93.534640999999993</v>
      </c>
      <c r="P411" s="1" t="s">
        <v>25</v>
      </c>
      <c r="Q411" s="1" t="s">
        <v>26</v>
      </c>
      <c r="R411" s="1" t="s">
        <v>596</v>
      </c>
      <c r="S411" s="2">
        <v>511.649</v>
      </c>
    </row>
    <row r="412" spans="1:19" x14ac:dyDescent="0.3">
      <c r="A412" s="1" t="s">
        <v>19</v>
      </c>
      <c r="B412" s="1" t="s">
        <v>590</v>
      </c>
      <c r="C412" s="1" t="s">
        <v>591</v>
      </c>
      <c r="D412" s="1" t="s">
        <v>631</v>
      </c>
      <c r="E412" s="1" t="s">
        <v>632</v>
      </c>
      <c r="F412" s="1" t="s">
        <v>61</v>
      </c>
      <c r="G412" s="1" t="s">
        <v>23</v>
      </c>
      <c r="H412">
        <v>7010207</v>
      </c>
      <c r="I412" s="1" t="s">
        <v>633</v>
      </c>
      <c r="J412">
        <v>36</v>
      </c>
      <c r="K412">
        <v>36</v>
      </c>
      <c r="L412" s="1" t="s">
        <v>582</v>
      </c>
      <c r="M412" s="1" t="s">
        <v>606</v>
      </c>
      <c r="N412">
        <v>46.174447999999998</v>
      </c>
      <c r="O412">
        <v>-93.542923999999999</v>
      </c>
      <c r="P412" s="1" t="s">
        <v>25</v>
      </c>
      <c r="Q412" s="1" t="s">
        <v>26</v>
      </c>
      <c r="R412" s="1" t="s">
        <v>596</v>
      </c>
      <c r="S412" s="2">
        <v>511.649</v>
      </c>
    </row>
    <row r="413" spans="1:19" x14ac:dyDescent="0.3">
      <c r="A413" s="1" t="s">
        <v>19</v>
      </c>
      <c r="B413" s="1" t="s">
        <v>590</v>
      </c>
      <c r="C413" s="1" t="s">
        <v>591</v>
      </c>
      <c r="D413" s="1" t="s">
        <v>634</v>
      </c>
      <c r="E413" s="1" t="s">
        <v>635</v>
      </c>
      <c r="F413" s="1" t="s">
        <v>61</v>
      </c>
      <c r="G413" s="1" t="s">
        <v>23</v>
      </c>
      <c r="H413">
        <v>7010207</v>
      </c>
      <c r="I413" s="1" t="s">
        <v>636</v>
      </c>
      <c r="J413">
        <v>36</v>
      </c>
      <c r="K413">
        <v>36</v>
      </c>
      <c r="L413" s="1" t="s">
        <v>582</v>
      </c>
      <c r="M413" s="1" t="s">
        <v>595</v>
      </c>
      <c r="N413">
        <v>46.297773999999997</v>
      </c>
      <c r="O413">
        <v>-93.542603</v>
      </c>
      <c r="P413" s="1" t="s">
        <v>25</v>
      </c>
      <c r="Q413" s="1" t="s">
        <v>26</v>
      </c>
      <c r="R413" s="1" t="s">
        <v>596</v>
      </c>
      <c r="S413" s="2">
        <v>511.649</v>
      </c>
    </row>
    <row r="414" spans="1:19" x14ac:dyDescent="0.3">
      <c r="A414" s="1" t="s">
        <v>62</v>
      </c>
      <c r="B414" s="1" t="s">
        <v>942</v>
      </c>
      <c r="C414" s="1" t="s">
        <v>943</v>
      </c>
      <c r="D414" s="1" t="s">
        <v>950</v>
      </c>
      <c r="E414" s="1" t="s">
        <v>951</v>
      </c>
      <c r="F414" s="1" t="s">
        <v>23</v>
      </c>
      <c r="G414" s="1" t="s">
        <v>23</v>
      </c>
      <c r="H414">
        <v>18010203</v>
      </c>
      <c r="I414" s="1" t="s">
        <v>952</v>
      </c>
      <c r="J414">
        <v>36</v>
      </c>
      <c r="K414">
        <v>36</v>
      </c>
      <c r="L414" s="1" t="s">
        <v>947</v>
      </c>
      <c r="M414" s="1" t="s">
        <v>948</v>
      </c>
      <c r="N414">
        <v>42.325696299999997</v>
      </c>
      <c r="O414">
        <v>-121.91778890000001</v>
      </c>
      <c r="P414" s="1" t="s">
        <v>25</v>
      </c>
      <c r="Q414" s="1" t="s">
        <v>26</v>
      </c>
      <c r="R414" s="1" t="s">
        <v>949</v>
      </c>
      <c r="S414" s="2">
        <v>228.505</v>
      </c>
    </row>
    <row r="415" spans="1:19" x14ac:dyDescent="0.3">
      <c r="A415" s="1" t="s">
        <v>19</v>
      </c>
      <c r="B415" s="1" t="s">
        <v>397</v>
      </c>
      <c r="C415" s="1" t="s">
        <v>398</v>
      </c>
      <c r="D415" s="1" t="s">
        <v>399</v>
      </c>
      <c r="E415" s="1" t="s">
        <v>400</v>
      </c>
      <c r="F415" s="1" t="s">
        <v>61</v>
      </c>
      <c r="G415" s="1" t="s">
        <v>23</v>
      </c>
      <c r="H415">
        <v>4080101</v>
      </c>
      <c r="I415" s="1" t="s">
        <v>401</v>
      </c>
      <c r="J415">
        <v>35</v>
      </c>
      <c r="K415">
        <v>35</v>
      </c>
      <c r="L415" s="1" t="s">
        <v>402</v>
      </c>
      <c r="M415" s="1" t="s">
        <v>403</v>
      </c>
      <c r="N415">
        <v>43.941670000000002</v>
      </c>
      <c r="O415">
        <v>-83.623891999999998</v>
      </c>
      <c r="P415" s="1" t="s">
        <v>25</v>
      </c>
      <c r="Q415" s="1" t="s">
        <v>26</v>
      </c>
      <c r="R415" s="1" t="s">
        <v>404</v>
      </c>
      <c r="S415" s="2">
        <v>2976.93</v>
      </c>
    </row>
    <row r="416" spans="1:19" x14ac:dyDescent="0.3">
      <c r="A416" s="1" t="s">
        <v>19</v>
      </c>
      <c r="B416" s="1" t="s">
        <v>819</v>
      </c>
      <c r="C416" s="1" t="s">
        <v>820</v>
      </c>
      <c r="D416" s="1" t="s">
        <v>821</v>
      </c>
      <c r="E416" s="1" t="s">
        <v>822</v>
      </c>
      <c r="F416" s="1" t="s">
        <v>61</v>
      </c>
      <c r="G416" s="1" t="s">
        <v>23</v>
      </c>
      <c r="H416">
        <v>10110101</v>
      </c>
      <c r="I416" s="1" t="s">
        <v>823</v>
      </c>
      <c r="J416">
        <v>35</v>
      </c>
      <c r="K416">
        <v>35</v>
      </c>
      <c r="L416" s="1" t="s">
        <v>816</v>
      </c>
      <c r="M416" s="1" t="s">
        <v>818</v>
      </c>
      <c r="N416">
        <v>47.515569999999997</v>
      </c>
      <c r="O416">
        <v>-101.3715</v>
      </c>
      <c r="P416" s="1" t="s">
        <v>25</v>
      </c>
      <c r="Q416" s="1" t="s">
        <v>26</v>
      </c>
      <c r="R416" s="1" t="s">
        <v>824</v>
      </c>
      <c r="S416" s="2">
        <v>1214.02</v>
      </c>
    </row>
    <row r="417" spans="1:19" x14ac:dyDescent="0.3">
      <c r="A417" s="1" t="s">
        <v>19</v>
      </c>
      <c r="B417" s="1" t="s">
        <v>819</v>
      </c>
      <c r="C417" s="1" t="s">
        <v>820</v>
      </c>
      <c r="D417" s="1" t="s">
        <v>830</v>
      </c>
      <c r="E417" s="1" t="s">
        <v>822</v>
      </c>
      <c r="F417" s="1" t="s">
        <v>61</v>
      </c>
      <c r="G417" s="1" t="s">
        <v>23</v>
      </c>
      <c r="H417">
        <v>10110101</v>
      </c>
      <c r="I417" s="1" t="s">
        <v>831</v>
      </c>
      <c r="J417">
        <v>35</v>
      </c>
      <c r="K417">
        <v>35</v>
      </c>
      <c r="L417" s="1" t="s">
        <v>816</v>
      </c>
      <c r="M417" s="1" t="s">
        <v>832</v>
      </c>
      <c r="N417">
        <v>47.569088899999997</v>
      </c>
      <c r="O417">
        <v>-102.11385</v>
      </c>
      <c r="P417" s="1" t="s">
        <v>25</v>
      </c>
      <c r="Q417" s="1" t="s">
        <v>26</v>
      </c>
      <c r="R417" s="1" t="s">
        <v>824</v>
      </c>
      <c r="S417" s="2">
        <v>1214.02</v>
      </c>
    </row>
    <row r="418" spans="1:19" x14ac:dyDescent="0.3">
      <c r="A418" s="1" t="s">
        <v>19</v>
      </c>
      <c r="B418" s="1" t="s">
        <v>590</v>
      </c>
      <c r="C418" s="1" t="s">
        <v>591</v>
      </c>
      <c r="D418" s="1" t="s">
        <v>637</v>
      </c>
      <c r="E418" s="1" t="s">
        <v>638</v>
      </c>
      <c r="F418" s="1" t="s">
        <v>61</v>
      </c>
      <c r="G418" s="1" t="s">
        <v>23</v>
      </c>
      <c r="H418">
        <v>7010207</v>
      </c>
      <c r="I418" s="1" t="s">
        <v>639</v>
      </c>
      <c r="J418">
        <v>35</v>
      </c>
      <c r="K418">
        <v>35</v>
      </c>
      <c r="L418" s="1" t="s">
        <v>582</v>
      </c>
      <c r="M418" s="1" t="s">
        <v>606</v>
      </c>
      <c r="N418">
        <v>46.146365000000003</v>
      </c>
      <c r="O418">
        <v>-93.471846999999997</v>
      </c>
      <c r="P418" s="1" t="s">
        <v>25</v>
      </c>
      <c r="Q418" s="1" t="s">
        <v>26</v>
      </c>
      <c r="R418" s="1" t="s">
        <v>596</v>
      </c>
      <c r="S418" s="2">
        <v>511.649</v>
      </c>
    </row>
    <row r="419" spans="1:19" x14ac:dyDescent="0.3">
      <c r="A419" s="1" t="s">
        <v>19</v>
      </c>
      <c r="B419" s="1" t="s">
        <v>590</v>
      </c>
      <c r="C419" s="1" t="s">
        <v>591</v>
      </c>
      <c r="D419" s="1" t="s">
        <v>640</v>
      </c>
      <c r="E419" s="1" t="s">
        <v>641</v>
      </c>
      <c r="F419" s="1" t="s">
        <v>61</v>
      </c>
      <c r="G419" s="1" t="s">
        <v>23</v>
      </c>
      <c r="H419">
        <v>7010207</v>
      </c>
      <c r="I419" s="1" t="s">
        <v>642</v>
      </c>
      <c r="J419">
        <v>35</v>
      </c>
      <c r="K419">
        <v>35</v>
      </c>
      <c r="L419" s="1" t="s">
        <v>582</v>
      </c>
      <c r="M419" s="1" t="s">
        <v>606</v>
      </c>
      <c r="N419">
        <v>46.147413999999998</v>
      </c>
      <c r="O419">
        <v>-93.710731999999993</v>
      </c>
      <c r="P419" s="1" t="s">
        <v>25</v>
      </c>
      <c r="Q419" s="1" t="s">
        <v>26</v>
      </c>
      <c r="R419" s="1" t="s">
        <v>596</v>
      </c>
      <c r="S419" s="2">
        <v>511.649</v>
      </c>
    </row>
    <row r="420" spans="1:19" x14ac:dyDescent="0.3">
      <c r="A420" s="1" t="s">
        <v>19</v>
      </c>
      <c r="B420" s="1" t="s">
        <v>643</v>
      </c>
      <c r="C420" s="1" t="s">
        <v>644</v>
      </c>
      <c r="D420" s="1" t="s">
        <v>669</v>
      </c>
      <c r="E420" s="1" t="s">
        <v>670</v>
      </c>
      <c r="F420" s="1" t="s">
        <v>61</v>
      </c>
      <c r="G420" s="1" t="s">
        <v>23</v>
      </c>
      <c r="H420">
        <v>9020302</v>
      </c>
      <c r="I420" s="1" t="s">
        <v>671</v>
      </c>
      <c r="J420">
        <v>35</v>
      </c>
      <c r="K420">
        <v>35</v>
      </c>
      <c r="L420" s="1" t="s">
        <v>582</v>
      </c>
      <c r="M420" s="1" t="s">
        <v>648</v>
      </c>
      <c r="N420">
        <v>48.152225000000001</v>
      </c>
      <c r="O420">
        <v>-94.688058499999997</v>
      </c>
      <c r="P420" s="1" t="s">
        <v>25</v>
      </c>
      <c r="Q420" s="1" t="s">
        <v>26</v>
      </c>
      <c r="R420" s="1" t="s">
        <v>665</v>
      </c>
      <c r="S420" s="2">
        <v>482.39800000000002</v>
      </c>
    </row>
    <row r="421" spans="1:19" x14ac:dyDescent="0.3">
      <c r="A421" s="1" t="s">
        <v>19</v>
      </c>
      <c r="B421" s="1" t="s">
        <v>643</v>
      </c>
      <c r="C421" s="1" t="s">
        <v>644</v>
      </c>
      <c r="D421" s="1" t="s">
        <v>675</v>
      </c>
      <c r="E421" s="1" t="s">
        <v>676</v>
      </c>
      <c r="F421" s="1" t="s">
        <v>61</v>
      </c>
      <c r="G421" s="1" t="s">
        <v>23</v>
      </c>
      <c r="H421">
        <v>9020302</v>
      </c>
      <c r="I421" s="1" t="s">
        <v>677</v>
      </c>
      <c r="J421">
        <v>35</v>
      </c>
      <c r="K421">
        <v>35</v>
      </c>
      <c r="L421" s="1" t="s">
        <v>582</v>
      </c>
      <c r="M421" s="1" t="s">
        <v>648</v>
      </c>
      <c r="N421">
        <v>48.125291599999997</v>
      </c>
      <c r="O421">
        <v>-94.820841799999997</v>
      </c>
      <c r="P421" s="1" t="s">
        <v>25</v>
      </c>
      <c r="Q421" s="1" t="s">
        <v>26</v>
      </c>
      <c r="R421" s="1" t="s">
        <v>665</v>
      </c>
      <c r="S421" s="2">
        <v>482.39800000000002</v>
      </c>
    </row>
    <row r="422" spans="1:19" x14ac:dyDescent="0.3">
      <c r="A422" s="1" t="s">
        <v>62</v>
      </c>
      <c r="B422" s="1" t="s">
        <v>942</v>
      </c>
      <c r="C422" s="1" t="s">
        <v>943</v>
      </c>
      <c r="D422" s="1" t="s">
        <v>965</v>
      </c>
      <c r="E422" s="1" t="s">
        <v>966</v>
      </c>
      <c r="F422" s="1" t="s">
        <v>23</v>
      </c>
      <c r="G422" s="1" t="s">
        <v>23</v>
      </c>
      <c r="H422">
        <v>18010203</v>
      </c>
      <c r="I422" s="1" t="s">
        <v>967</v>
      </c>
      <c r="J422">
        <v>35</v>
      </c>
      <c r="K422">
        <v>35</v>
      </c>
      <c r="L422" s="1" t="s">
        <v>947</v>
      </c>
      <c r="M422" s="1" t="s">
        <v>948</v>
      </c>
      <c r="N422">
        <v>42.416582499999997</v>
      </c>
      <c r="O422">
        <v>-121.9728482</v>
      </c>
      <c r="P422" s="1" t="s">
        <v>25</v>
      </c>
      <c r="Q422" s="1" t="s">
        <v>26</v>
      </c>
      <c r="R422" s="1" t="s">
        <v>949</v>
      </c>
      <c r="S422" s="2">
        <v>228.505</v>
      </c>
    </row>
    <row r="423" spans="1:19" x14ac:dyDescent="0.3">
      <c r="A423" s="1" t="s">
        <v>62</v>
      </c>
      <c r="B423" s="1" t="s">
        <v>1398</v>
      </c>
      <c r="C423" s="1" t="s">
        <v>1399</v>
      </c>
      <c r="D423" s="1" t="s">
        <v>1412</v>
      </c>
      <c r="E423" s="1" t="s">
        <v>1413</v>
      </c>
      <c r="F423" s="1" t="s">
        <v>23</v>
      </c>
      <c r="G423" s="1" t="s">
        <v>23</v>
      </c>
      <c r="H423">
        <v>16020310</v>
      </c>
      <c r="I423" s="1" t="s">
        <v>1414</v>
      </c>
      <c r="J423">
        <v>34</v>
      </c>
      <c r="K423">
        <v>34</v>
      </c>
      <c r="L423" s="1" t="s">
        <v>1403</v>
      </c>
      <c r="M423" s="1" t="s">
        <v>1411</v>
      </c>
      <c r="N423">
        <v>41.187714900000003</v>
      </c>
      <c r="O423">
        <v>-112.41300940000001</v>
      </c>
      <c r="P423" s="1" t="s">
        <v>25</v>
      </c>
      <c r="Q423" s="1" t="s">
        <v>26</v>
      </c>
      <c r="R423" s="1" t="s">
        <v>1404</v>
      </c>
      <c r="S423" s="2">
        <v>4443.97</v>
      </c>
    </row>
    <row r="424" spans="1:19" x14ac:dyDescent="0.3">
      <c r="A424" s="1" t="s">
        <v>19</v>
      </c>
      <c r="B424" s="1" t="s">
        <v>397</v>
      </c>
      <c r="C424" s="1" t="s">
        <v>398</v>
      </c>
      <c r="D424" s="1" t="s">
        <v>411</v>
      </c>
      <c r="E424" s="1" t="s">
        <v>412</v>
      </c>
      <c r="F424" s="1" t="s">
        <v>61</v>
      </c>
      <c r="G424" s="1" t="s">
        <v>23</v>
      </c>
      <c r="H424">
        <v>4080102</v>
      </c>
      <c r="I424" s="1" t="s">
        <v>413</v>
      </c>
      <c r="J424">
        <v>34</v>
      </c>
      <c r="K424">
        <v>34</v>
      </c>
      <c r="L424" s="1" t="s">
        <v>402</v>
      </c>
      <c r="M424" s="1" t="s">
        <v>143</v>
      </c>
      <c r="N424">
        <v>43.684725999999998</v>
      </c>
      <c r="O424">
        <v>-83.843059999999994</v>
      </c>
      <c r="P424" s="1" t="s">
        <v>25</v>
      </c>
      <c r="Q424" s="1" t="s">
        <v>26</v>
      </c>
      <c r="R424" s="1" t="s">
        <v>404</v>
      </c>
      <c r="S424" s="2">
        <v>2976.93</v>
      </c>
    </row>
    <row r="425" spans="1:19" x14ac:dyDescent="0.3">
      <c r="A425" s="1" t="s">
        <v>19</v>
      </c>
      <c r="B425" s="1" t="s">
        <v>397</v>
      </c>
      <c r="C425" s="1" t="s">
        <v>398</v>
      </c>
      <c r="D425" s="1" t="s">
        <v>414</v>
      </c>
      <c r="E425" s="1" t="s">
        <v>415</v>
      </c>
      <c r="F425" s="1" t="s">
        <v>61</v>
      </c>
      <c r="G425" s="1" t="s">
        <v>23</v>
      </c>
      <c r="H425">
        <v>4080103</v>
      </c>
      <c r="I425" s="1" t="s">
        <v>416</v>
      </c>
      <c r="J425">
        <v>34</v>
      </c>
      <c r="K425">
        <v>34</v>
      </c>
      <c r="L425" s="1" t="s">
        <v>402</v>
      </c>
      <c r="M425" s="1" t="s">
        <v>417</v>
      </c>
      <c r="N425">
        <v>43.846947999999998</v>
      </c>
      <c r="O425">
        <v>-83.562505000000002</v>
      </c>
      <c r="P425" s="1" t="s">
        <v>25</v>
      </c>
      <c r="Q425" s="1" t="s">
        <v>26</v>
      </c>
      <c r="R425" s="1" t="s">
        <v>404</v>
      </c>
      <c r="S425" s="2">
        <v>2976.93</v>
      </c>
    </row>
    <row r="426" spans="1:19" x14ac:dyDescent="0.3">
      <c r="A426" s="1" t="s">
        <v>19</v>
      </c>
      <c r="B426" s="1" t="s">
        <v>819</v>
      </c>
      <c r="C426" s="1" t="s">
        <v>820</v>
      </c>
      <c r="D426" s="1" t="s">
        <v>828</v>
      </c>
      <c r="E426" s="1" t="s">
        <v>822</v>
      </c>
      <c r="F426" s="1" t="s">
        <v>61</v>
      </c>
      <c r="G426" s="1" t="s">
        <v>23</v>
      </c>
      <c r="H426">
        <v>10110101</v>
      </c>
      <c r="I426" s="1" t="s">
        <v>829</v>
      </c>
      <c r="J426">
        <v>34</v>
      </c>
      <c r="K426">
        <v>34</v>
      </c>
      <c r="L426" s="1" t="s">
        <v>816</v>
      </c>
      <c r="M426" s="1" t="s">
        <v>818</v>
      </c>
      <c r="N426">
        <v>47.520938899999997</v>
      </c>
      <c r="O426">
        <v>-101.76239</v>
      </c>
      <c r="P426" s="1" t="s">
        <v>25</v>
      </c>
      <c r="Q426" s="1" t="s">
        <v>26</v>
      </c>
      <c r="R426" s="1" t="s">
        <v>824</v>
      </c>
      <c r="S426" s="2">
        <v>1214.02</v>
      </c>
    </row>
    <row r="427" spans="1:19" x14ac:dyDescent="0.3">
      <c r="A427" s="1" t="s">
        <v>19</v>
      </c>
      <c r="B427" s="1" t="s">
        <v>819</v>
      </c>
      <c r="C427" s="1" t="s">
        <v>820</v>
      </c>
      <c r="D427" s="1" t="s">
        <v>833</v>
      </c>
      <c r="E427" s="1" t="s">
        <v>822</v>
      </c>
      <c r="F427" s="1" t="s">
        <v>61</v>
      </c>
      <c r="G427" s="1" t="s">
        <v>23</v>
      </c>
      <c r="H427">
        <v>10110101</v>
      </c>
      <c r="I427" s="1" t="s">
        <v>834</v>
      </c>
      <c r="J427">
        <v>34</v>
      </c>
      <c r="K427">
        <v>34</v>
      </c>
      <c r="L427" s="1" t="s">
        <v>816</v>
      </c>
      <c r="M427" s="1" t="s">
        <v>835</v>
      </c>
      <c r="N427">
        <v>47.7142306</v>
      </c>
      <c r="O427">
        <v>-102.26139000000001</v>
      </c>
      <c r="P427" s="1" t="s">
        <v>25</v>
      </c>
      <c r="Q427" s="1" t="s">
        <v>26</v>
      </c>
      <c r="R427" s="1" t="s">
        <v>824</v>
      </c>
      <c r="S427" s="2">
        <v>1214.02</v>
      </c>
    </row>
    <row r="428" spans="1:19" x14ac:dyDescent="0.3">
      <c r="A428" s="1" t="s">
        <v>19</v>
      </c>
      <c r="B428" s="1" t="s">
        <v>819</v>
      </c>
      <c r="C428" s="1" t="s">
        <v>820</v>
      </c>
      <c r="D428" s="1" t="s">
        <v>836</v>
      </c>
      <c r="E428" s="1" t="s">
        <v>837</v>
      </c>
      <c r="F428" s="1" t="s">
        <v>22</v>
      </c>
      <c r="G428" s="1" t="s">
        <v>23</v>
      </c>
      <c r="H428">
        <v>10110101</v>
      </c>
      <c r="I428" s="1" t="s">
        <v>838</v>
      </c>
      <c r="J428">
        <v>34</v>
      </c>
      <c r="K428">
        <v>34</v>
      </c>
      <c r="L428" s="1" t="s">
        <v>816</v>
      </c>
      <c r="M428" s="1" t="s">
        <v>835</v>
      </c>
      <c r="N428">
        <v>47.779919999999997</v>
      </c>
      <c r="O428">
        <v>-102.34663329999999</v>
      </c>
      <c r="P428" s="1" t="s">
        <v>25</v>
      </c>
      <c r="Q428" s="1" t="s">
        <v>26</v>
      </c>
      <c r="R428" s="1" t="s">
        <v>824</v>
      </c>
      <c r="S428" s="2">
        <v>1214.02</v>
      </c>
    </row>
    <row r="429" spans="1:19" x14ac:dyDescent="0.3">
      <c r="A429" s="1" t="s">
        <v>19</v>
      </c>
      <c r="B429" s="1" t="s">
        <v>819</v>
      </c>
      <c r="C429" s="1" t="s">
        <v>820</v>
      </c>
      <c r="D429" s="1" t="s">
        <v>839</v>
      </c>
      <c r="E429" s="1" t="s">
        <v>822</v>
      </c>
      <c r="F429" s="1" t="s">
        <v>61</v>
      </c>
      <c r="G429" s="1" t="s">
        <v>23</v>
      </c>
      <c r="H429">
        <v>10110101</v>
      </c>
      <c r="I429" s="1" t="s">
        <v>840</v>
      </c>
      <c r="J429">
        <v>34</v>
      </c>
      <c r="K429">
        <v>34</v>
      </c>
      <c r="L429" s="1" t="s">
        <v>816</v>
      </c>
      <c r="M429" s="1" t="s">
        <v>841</v>
      </c>
      <c r="N429">
        <v>47.973530599999997</v>
      </c>
      <c r="O429">
        <v>-102.56473</v>
      </c>
      <c r="P429" s="1" t="s">
        <v>25</v>
      </c>
      <c r="Q429" s="1" t="s">
        <v>26</v>
      </c>
      <c r="R429" s="1" t="s">
        <v>824</v>
      </c>
      <c r="S429" s="2">
        <v>1214.02</v>
      </c>
    </row>
    <row r="430" spans="1:19" x14ac:dyDescent="0.3">
      <c r="A430" s="1" t="s">
        <v>19</v>
      </c>
      <c r="B430" s="1" t="s">
        <v>90</v>
      </c>
      <c r="C430" s="1" t="s">
        <v>91</v>
      </c>
      <c r="D430" s="1" t="s">
        <v>122</v>
      </c>
      <c r="E430" s="1" t="s">
        <v>123</v>
      </c>
      <c r="F430" s="1" t="s">
        <v>61</v>
      </c>
      <c r="G430" s="1" t="s">
        <v>23</v>
      </c>
      <c r="H430">
        <v>18020116</v>
      </c>
      <c r="I430" s="1" t="s">
        <v>124</v>
      </c>
      <c r="J430">
        <v>34</v>
      </c>
      <c r="K430">
        <v>34</v>
      </c>
      <c r="L430" s="1" t="s">
        <v>87</v>
      </c>
      <c r="M430" s="1" t="s">
        <v>88</v>
      </c>
      <c r="N430">
        <v>38.962899999999998</v>
      </c>
      <c r="O430">
        <v>-122.7311</v>
      </c>
      <c r="P430" s="1" t="s">
        <v>25</v>
      </c>
      <c r="Q430" s="1" t="s">
        <v>26</v>
      </c>
      <c r="R430" s="1" t="s">
        <v>89</v>
      </c>
      <c r="S430" s="2">
        <v>159.102</v>
      </c>
    </row>
    <row r="431" spans="1:19" x14ac:dyDescent="0.3">
      <c r="A431" s="1" t="s">
        <v>19</v>
      </c>
      <c r="B431" s="1" t="s">
        <v>749</v>
      </c>
      <c r="C431" s="1" t="s">
        <v>750</v>
      </c>
      <c r="D431" s="1" t="s">
        <v>766</v>
      </c>
      <c r="E431" s="1" t="s">
        <v>767</v>
      </c>
      <c r="F431" s="1" t="s">
        <v>61</v>
      </c>
      <c r="G431" s="1" t="s">
        <v>23</v>
      </c>
      <c r="H431">
        <v>16050304</v>
      </c>
      <c r="I431" s="1" t="s">
        <v>768</v>
      </c>
      <c r="J431">
        <v>34</v>
      </c>
      <c r="K431">
        <v>34</v>
      </c>
      <c r="L431" s="1" t="s">
        <v>723</v>
      </c>
      <c r="M431" s="1" t="s">
        <v>738</v>
      </c>
      <c r="N431">
        <v>38.751701400000002</v>
      </c>
      <c r="O431">
        <v>-118.7249985</v>
      </c>
      <c r="P431" s="1" t="s">
        <v>25</v>
      </c>
      <c r="Q431" s="1" t="s">
        <v>26</v>
      </c>
      <c r="R431" s="1" t="s">
        <v>739</v>
      </c>
      <c r="S431" s="2">
        <v>142.54</v>
      </c>
    </row>
    <row r="432" spans="1:19" x14ac:dyDescent="0.3">
      <c r="A432" s="1" t="s">
        <v>62</v>
      </c>
      <c r="B432" s="1" t="s">
        <v>1398</v>
      </c>
      <c r="C432" s="1" t="s">
        <v>1399</v>
      </c>
      <c r="D432" s="1" t="s">
        <v>1405</v>
      </c>
      <c r="E432" s="1" t="s">
        <v>1406</v>
      </c>
      <c r="F432" s="1" t="s">
        <v>23</v>
      </c>
      <c r="G432" s="1" t="s">
        <v>23</v>
      </c>
      <c r="H432">
        <v>16020310</v>
      </c>
      <c r="I432" s="1" t="s">
        <v>1407</v>
      </c>
      <c r="J432">
        <v>33</v>
      </c>
      <c r="K432">
        <v>33</v>
      </c>
      <c r="L432" s="1" t="s">
        <v>1403</v>
      </c>
      <c r="M432" s="1" t="s">
        <v>364</v>
      </c>
      <c r="N432">
        <v>41.072717799999999</v>
      </c>
      <c r="O432">
        <v>-112.3341186</v>
      </c>
      <c r="P432" s="1" t="s">
        <v>25</v>
      </c>
      <c r="Q432" s="1" t="s">
        <v>26</v>
      </c>
      <c r="R432" s="1" t="s">
        <v>1404</v>
      </c>
      <c r="S432" s="2">
        <v>4443.97</v>
      </c>
    </row>
    <row r="433" spans="1:19" x14ac:dyDescent="0.3">
      <c r="A433" s="1" t="s">
        <v>19</v>
      </c>
      <c r="B433" s="1" t="s">
        <v>397</v>
      </c>
      <c r="C433" s="1" t="s">
        <v>398</v>
      </c>
      <c r="D433" s="1" t="s">
        <v>421</v>
      </c>
      <c r="E433" s="1" t="s">
        <v>422</v>
      </c>
      <c r="F433" s="1" t="s">
        <v>61</v>
      </c>
      <c r="G433" s="1" t="s">
        <v>23</v>
      </c>
      <c r="H433">
        <v>4080103</v>
      </c>
      <c r="I433" s="1" t="s">
        <v>423</v>
      </c>
      <c r="J433">
        <v>33</v>
      </c>
      <c r="K433">
        <v>33</v>
      </c>
      <c r="L433" s="1" t="s">
        <v>402</v>
      </c>
      <c r="M433" s="1" t="s">
        <v>424</v>
      </c>
      <c r="N433">
        <v>43.738337000000001</v>
      </c>
      <c r="O433">
        <v>-83.640837000000005</v>
      </c>
      <c r="P433" s="1" t="s">
        <v>25</v>
      </c>
      <c r="Q433" s="1" t="s">
        <v>26</v>
      </c>
      <c r="R433" s="1" t="s">
        <v>404</v>
      </c>
      <c r="S433" s="2">
        <v>2976.93</v>
      </c>
    </row>
    <row r="434" spans="1:19" x14ac:dyDescent="0.3">
      <c r="A434" s="1" t="s">
        <v>62</v>
      </c>
      <c r="B434" s="1" t="s">
        <v>678</v>
      </c>
      <c r="C434" s="1" t="s">
        <v>679</v>
      </c>
      <c r="D434" s="1" t="s">
        <v>689</v>
      </c>
      <c r="E434" s="1" t="s">
        <v>690</v>
      </c>
      <c r="F434" s="1" t="s">
        <v>23</v>
      </c>
      <c r="G434" s="1" t="s">
        <v>23</v>
      </c>
      <c r="H434">
        <v>17010101</v>
      </c>
      <c r="I434" s="1" t="s">
        <v>691</v>
      </c>
      <c r="J434">
        <v>33</v>
      </c>
      <c r="K434">
        <v>33</v>
      </c>
      <c r="L434" s="1" t="s">
        <v>683</v>
      </c>
      <c r="M434" s="1" t="s">
        <v>684</v>
      </c>
      <c r="N434">
        <v>48.414083300000001</v>
      </c>
      <c r="O434">
        <v>-115.3083056</v>
      </c>
      <c r="P434" s="1" t="s">
        <v>396</v>
      </c>
      <c r="Q434" s="1" t="s">
        <v>26</v>
      </c>
      <c r="R434" s="1" t="s">
        <v>685</v>
      </c>
      <c r="S434" s="2">
        <v>233.62200000000001</v>
      </c>
    </row>
    <row r="435" spans="1:19" x14ac:dyDescent="0.3">
      <c r="A435" s="1" t="s">
        <v>19</v>
      </c>
      <c r="B435" s="1" t="s">
        <v>1233</v>
      </c>
      <c r="C435" s="1" t="s">
        <v>1234</v>
      </c>
      <c r="D435" s="1" t="s">
        <v>1303</v>
      </c>
      <c r="E435" s="1" t="s">
        <v>1304</v>
      </c>
      <c r="F435" s="1" t="s">
        <v>22</v>
      </c>
      <c r="G435" s="1" t="s">
        <v>23</v>
      </c>
      <c r="H435">
        <v>13040212</v>
      </c>
      <c r="I435" s="1" t="s">
        <v>1305</v>
      </c>
      <c r="J435">
        <v>33</v>
      </c>
      <c r="K435">
        <v>33</v>
      </c>
      <c r="L435" s="1" t="s">
        <v>1232</v>
      </c>
      <c r="M435" s="1" t="s">
        <v>1306</v>
      </c>
      <c r="N435">
        <v>29.458300000000001</v>
      </c>
      <c r="O435">
        <v>-101.05719999999999</v>
      </c>
      <c r="P435" s="1" t="s">
        <v>1301</v>
      </c>
      <c r="Q435" s="1" t="s">
        <v>1594</v>
      </c>
      <c r="R435" s="1" t="s">
        <v>1307</v>
      </c>
      <c r="S435" s="2">
        <v>217.08699999999999</v>
      </c>
    </row>
    <row r="436" spans="1:19" x14ac:dyDescent="0.3">
      <c r="A436" s="1" t="s">
        <v>19</v>
      </c>
      <c r="B436" s="1" t="s">
        <v>1233</v>
      </c>
      <c r="C436" s="1" t="s">
        <v>1234</v>
      </c>
      <c r="D436" s="1" t="s">
        <v>1297</v>
      </c>
      <c r="E436" s="1" t="s">
        <v>1298</v>
      </c>
      <c r="F436" s="1" t="s">
        <v>22</v>
      </c>
      <c r="G436" s="1" t="s">
        <v>23</v>
      </c>
      <c r="H436">
        <v>13080003</v>
      </c>
      <c r="I436" s="1" t="s">
        <v>1299</v>
      </c>
      <c r="J436">
        <v>32</v>
      </c>
      <c r="K436">
        <v>32</v>
      </c>
      <c r="L436" s="1" t="s">
        <v>1232</v>
      </c>
      <c r="M436" s="1" t="s">
        <v>1300</v>
      </c>
      <c r="N436">
        <v>26.58</v>
      </c>
      <c r="O436">
        <v>-99.170599999999993</v>
      </c>
      <c r="P436" s="1" t="s">
        <v>1301</v>
      </c>
      <c r="Q436" s="1" t="s">
        <v>1594</v>
      </c>
      <c r="R436" s="1" t="s">
        <v>1302</v>
      </c>
      <c r="S436" s="2">
        <v>294.53800000000001</v>
      </c>
    </row>
    <row r="437" spans="1:19" x14ac:dyDescent="0.3">
      <c r="A437" s="1" t="s">
        <v>19</v>
      </c>
      <c r="B437" s="1" t="s">
        <v>397</v>
      </c>
      <c r="C437" s="1" t="s">
        <v>398</v>
      </c>
      <c r="D437" s="1" t="s">
        <v>405</v>
      </c>
      <c r="E437" s="1" t="s">
        <v>406</v>
      </c>
      <c r="F437" s="1" t="s">
        <v>61</v>
      </c>
      <c r="G437" s="1" t="s">
        <v>23</v>
      </c>
      <c r="H437">
        <v>4080102</v>
      </c>
      <c r="I437" s="1" t="s">
        <v>407</v>
      </c>
      <c r="J437">
        <v>31</v>
      </c>
      <c r="K437">
        <v>31</v>
      </c>
      <c r="L437" s="1" t="s">
        <v>402</v>
      </c>
      <c r="M437" s="1" t="s">
        <v>403</v>
      </c>
      <c r="N437">
        <v>43.895280999999997</v>
      </c>
      <c r="O437">
        <v>-83.860558999999995</v>
      </c>
      <c r="P437" s="1" t="s">
        <v>25</v>
      </c>
      <c r="Q437" s="1" t="s">
        <v>26</v>
      </c>
      <c r="R437" s="1" t="s">
        <v>404</v>
      </c>
      <c r="S437" s="2">
        <v>2976.93</v>
      </c>
    </row>
    <row r="438" spans="1:19" x14ac:dyDescent="0.3">
      <c r="A438" s="1" t="s">
        <v>19</v>
      </c>
      <c r="B438" s="1" t="s">
        <v>128</v>
      </c>
      <c r="C438" s="1" t="s">
        <v>129</v>
      </c>
      <c r="D438" s="1" t="s">
        <v>135</v>
      </c>
      <c r="E438" s="1" t="s">
        <v>136</v>
      </c>
      <c r="F438" s="1" t="s">
        <v>61</v>
      </c>
      <c r="G438" s="1" t="s">
        <v>23</v>
      </c>
      <c r="H438">
        <v>3090101</v>
      </c>
      <c r="I438" s="1" t="s">
        <v>137</v>
      </c>
      <c r="J438">
        <v>31</v>
      </c>
      <c r="K438">
        <v>31</v>
      </c>
      <c r="L438" s="1" t="s">
        <v>127</v>
      </c>
      <c r="M438" s="1" t="s">
        <v>130</v>
      </c>
      <c r="N438">
        <v>27.93919</v>
      </c>
      <c r="O438">
        <v>-81.301829999999995</v>
      </c>
      <c r="P438" s="1" t="s">
        <v>25</v>
      </c>
      <c r="Q438" s="1" t="s">
        <v>26</v>
      </c>
      <c r="R438" s="1" t="s">
        <v>134</v>
      </c>
      <c r="S438" s="2">
        <v>137.49</v>
      </c>
    </row>
    <row r="439" spans="1:19" x14ac:dyDescent="0.3">
      <c r="A439" s="1" t="s">
        <v>19</v>
      </c>
      <c r="B439" s="1" t="s">
        <v>476</v>
      </c>
      <c r="C439" s="1" t="s">
        <v>477</v>
      </c>
      <c r="D439" s="1" t="s">
        <v>538</v>
      </c>
      <c r="E439" s="1" t="s">
        <v>539</v>
      </c>
      <c r="F439" s="1" t="s">
        <v>480</v>
      </c>
      <c r="G439" s="1" t="s">
        <v>23</v>
      </c>
      <c r="H439">
        <v>0</v>
      </c>
      <c r="I439" s="1" t="s">
        <v>540</v>
      </c>
      <c r="J439">
        <v>30</v>
      </c>
      <c r="K439">
        <v>30</v>
      </c>
      <c r="L439" s="1" t="s">
        <v>402</v>
      </c>
      <c r="M439" s="1" t="s">
        <v>427</v>
      </c>
      <c r="N439">
        <v>42.583345899999998</v>
      </c>
      <c r="O439">
        <v>-86.416714400000004</v>
      </c>
      <c r="P439" s="1" t="s">
        <v>25</v>
      </c>
      <c r="Q439" s="1" t="s">
        <v>26</v>
      </c>
      <c r="R439" s="1" t="s">
        <v>518</v>
      </c>
      <c r="S439" s="2">
        <v>52823.5</v>
      </c>
    </row>
    <row r="440" spans="1:19" x14ac:dyDescent="0.3">
      <c r="A440" s="1" t="s">
        <v>19</v>
      </c>
      <c r="B440" s="1" t="s">
        <v>397</v>
      </c>
      <c r="C440" s="1" t="s">
        <v>398</v>
      </c>
      <c r="D440" s="1" t="s">
        <v>408</v>
      </c>
      <c r="E440" s="1" t="s">
        <v>409</v>
      </c>
      <c r="F440" s="1" t="s">
        <v>61</v>
      </c>
      <c r="G440" s="1" t="s">
        <v>23</v>
      </c>
      <c r="H440">
        <v>4080102</v>
      </c>
      <c r="I440" s="1" t="s">
        <v>410</v>
      </c>
      <c r="J440">
        <v>30</v>
      </c>
      <c r="K440">
        <v>30</v>
      </c>
      <c r="L440" s="1" t="s">
        <v>402</v>
      </c>
      <c r="M440" s="1" t="s">
        <v>143</v>
      </c>
      <c r="N440">
        <v>43.838059000000001</v>
      </c>
      <c r="O440">
        <v>-83.792781000000005</v>
      </c>
      <c r="P440" s="1" t="s">
        <v>25</v>
      </c>
      <c r="Q440" s="1" t="s">
        <v>26</v>
      </c>
      <c r="R440" s="1" t="s">
        <v>404</v>
      </c>
      <c r="S440" s="2">
        <v>2976.93</v>
      </c>
    </row>
    <row r="441" spans="1:19" x14ac:dyDescent="0.3">
      <c r="A441" s="1" t="s">
        <v>19</v>
      </c>
      <c r="B441" s="1" t="s">
        <v>897</v>
      </c>
      <c r="C441" s="1" t="s">
        <v>898</v>
      </c>
      <c r="D441" s="1" t="s">
        <v>899</v>
      </c>
      <c r="E441" s="1" t="s">
        <v>900</v>
      </c>
      <c r="F441" s="1" t="s">
        <v>61</v>
      </c>
      <c r="G441" s="1" t="s">
        <v>23</v>
      </c>
      <c r="H441">
        <v>9020201</v>
      </c>
      <c r="I441" s="1" t="s">
        <v>901</v>
      </c>
      <c r="J441">
        <v>30</v>
      </c>
      <c r="K441">
        <v>30</v>
      </c>
      <c r="L441" s="1" t="s">
        <v>816</v>
      </c>
      <c r="M441" s="1" t="s">
        <v>856</v>
      </c>
      <c r="N441">
        <v>47.955300000000001</v>
      </c>
      <c r="O441">
        <v>-98.802499999999995</v>
      </c>
      <c r="P441" s="1" t="s">
        <v>25</v>
      </c>
      <c r="Q441" s="1" t="s">
        <v>26</v>
      </c>
      <c r="R441" s="1" t="s">
        <v>434</v>
      </c>
      <c r="S441" s="2">
        <v>359.2</v>
      </c>
    </row>
    <row r="442" spans="1:19" x14ac:dyDescent="0.3">
      <c r="A442" s="1" t="s">
        <v>19</v>
      </c>
      <c r="B442" s="1" t="s">
        <v>897</v>
      </c>
      <c r="C442" s="1" t="s">
        <v>898</v>
      </c>
      <c r="D442" s="1" t="s">
        <v>902</v>
      </c>
      <c r="E442" s="1" t="s">
        <v>903</v>
      </c>
      <c r="F442" s="1" t="s">
        <v>61</v>
      </c>
      <c r="G442" s="1" t="s">
        <v>23</v>
      </c>
      <c r="H442">
        <v>9020201</v>
      </c>
      <c r="I442" s="1" t="s">
        <v>904</v>
      </c>
      <c r="J442">
        <v>30</v>
      </c>
      <c r="K442">
        <v>30</v>
      </c>
      <c r="L442" s="1" t="s">
        <v>816</v>
      </c>
      <c r="M442" s="1" t="s">
        <v>856</v>
      </c>
      <c r="N442">
        <v>48.018333300000002</v>
      </c>
      <c r="O442">
        <v>-98.998611100000005</v>
      </c>
      <c r="P442" s="1" t="s">
        <v>25</v>
      </c>
      <c r="Q442" s="1" t="s">
        <v>26</v>
      </c>
      <c r="R442" s="1" t="s">
        <v>434</v>
      </c>
      <c r="S442" s="2">
        <v>359.2</v>
      </c>
    </row>
    <row r="443" spans="1:19" x14ac:dyDescent="0.3">
      <c r="A443" s="1" t="s">
        <v>19</v>
      </c>
      <c r="B443" s="1" t="s">
        <v>897</v>
      </c>
      <c r="C443" s="1" t="s">
        <v>898</v>
      </c>
      <c r="D443" s="1" t="s">
        <v>905</v>
      </c>
      <c r="E443" s="1" t="s">
        <v>906</v>
      </c>
      <c r="F443" s="1" t="s">
        <v>61</v>
      </c>
      <c r="G443" s="1" t="s">
        <v>23</v>
      </c>
      <c r="H443">
        <v>9020201</v>
      </c>
      <c r="I443" s="1" t="s">
        <v>907</v>
      </c>
      <c r="J443">
        <v>30</v>
      </c>
      <c r="K443">
        <v>30</v>
      </c>
      <c r="L443" s="1" t="s">
        <v>816</v>
      </c>
      <c r="M443" s="1" t="s">
        <v>856</v>
      </c>
      <c r="N443">
        <v>48.02</v>
      </c>
      <c r="O443">
        <v>-98.914444399999994</v>
      </c>
      <c r="P443" s="1" t="s">
        <v>25</v>
      </c>
      <c r="Q443" s="1" t="s">
        <v>26</v>
      </c>
      <c r="R443" s="1" t="s">
        <v>434</v>
      </c>
      <c r="S443" s="2">
        <v>359.2</v>
      </c>
    </row>
    <row r="444" spans="1:19" x14ac:dyDescent="0.3">
      <c r="A444" s="1" t="s">
        <v>62</v>
      </c>
      <c r="B444" s="1" t="s">
        <v>678</v>
      </c>
      <c r="C444" s="1" t="s">
        <v>679</v>
      </c>
      <c r="D444" s="1" t="s">
        <v>686</v>
      </c>
      <c r="E444" s="1" t="s">
        <v>687</v>
      </c>
      <c r="F444" s="1" t="s">
        <v>23</v>
      </c>
      <c r="G444" s="1" t="s">
        <v>23</v>
      </c>
      <c r="H444">
        <v>17010101</v>
      </c>
      <c r="I444" s="1" t="s">
        <v>688</v>
      </c>
      <c r="J444">
        <v>30</v>
      </c>
      <c r="K444">
        <v>30</v>
      </c>
      <c r="L444" s="1" t="s">
        <v>683</v>
      </c>
      <c r="M444" s="1" t="s">
        <v>684</v>
      </c>
      <c r="N444">
        <v>48.5849592</v>
      </c>
      <c r="O444">
        <v>-115.2321101</v>
      </c>
      <c r="P444" s="1" t="s">
        <v>396</v>
      </c>
      <c r="Q444" s="1" t="s">
        <v>26</v>
      </c>
      <c r="R444" s="1" t="s">
        <v>685</v>
      </c>
      <c r="S444" s="2">
        <v>233.62200000000001</v>
      </c>
    </row>
    <row r="445" spans="1:19" x14ac:dyDescent="0.3">
      <c r="A445" s="1" t="s">
        <v>19</v>
      </c>
      <c r="B445" s="1" t="s">
        <v>128</v>
      </c>
      <c r="C445" s="1" t="s">
        <v>129</v>
      </c>
      <c r="D445" s="1" t="s">
        <v>131</v>
      </c>
      <c r="E445" s="1" t="s">
        <v>132</v>
      </c>
      <c r="F445" s="1" t="s">
        <v>61</v>
      </c>
      <c r="G445" s="1" t="s">
        <v>23</v>
      </c>
      <c r="H445">
        <v>3090101</v>
      </c>
      <c r="I445" s="1" t="s">
        <v>133</v>
      </c>
      <c r="J445">
        <v>30</v>
      </c>
      <c r="K445">
        <v>30</v>
      </c>
      <c r="L445" s="1" t="s">
        <v>127</v>
      </c>
      <c r="M445" s="1" t="s">
        <v>130</v>
      </c>
      <c r="N445">
        <v>27.952780000000001</v>
      </c>
      <c r="O445">
        <v>-81.31944</v>
      </c>
      <c r="P445" s="1" t="s">
        <v>25</v>
      </c>
      <c r="Q445" s="1" t="s">
        <v>26</v>
      </c>
      <c r="R445" s="1" t="s">
        <v>134</v>
      </c>
      <c r="S445" s="2">
        <v>137.49</v>
      </c>
    </row>
    <row r="446" spans="1:19" x14ac:dyDescent="0.3">
      <c r="A446" s="1" t="s">
        <v>19</v>
      </c>
      <c r="B446" s="1" t="s">
        <v>128</v>
      </c>
      <c r="C446" s="1" t="s">
        <v>129</v>
      </c>
      <c r="D446" s="1" t="s">
        <v>138</v>
      </c>
      <c r="E446" s="1" t="s">
        <v>139</v>
      </c>
      <c r="F446" s="1" t="s">
        <v>61</v>
      </c>
      <c r="G446" s="1" t="s">
        <v>23</v>
      </c>
      <c r="H446">
        <v>3090101</v>
      </c>
      <c r="I446" s="1" t="s">
        <v>140</v>
      </c>
      <c r="J446">
        <v>30</v>
      </c>
      <c r="K446">
        <v>30</v>
      </c>
      <c r="L446" s="1" t="s">
        <v>127</v>
      </c>
      <c r="M446" s="1" t="s">
        <v>130</v>
      </c>
      <c r="N446">
        <v>27.828389999999999</v>
      </c>
      <c r="O446">
        <v>-81.202748299999996</v>
      </c>
      <c r="P446" s="1" t="s">
        <v>25</v>
      </c>
      <c r="Q446" s="1" t="s">
        <v>26</v>
      </c>
      <c r="R446" s="1" t="s">
        <v>134</v>
      </c>
      <c r="S446" s="2">
        <v>137.49</v>
      </c>
    </row>
    <row r="447" spans="1:19" x14ac:dyDescent="0.3">
      <c r="A447" s="1" t="s">
        <v>62</v>
      </c>
      <c r="B447" s="1" t="s">
        <v>63</v>
      </c>
      <c r="C447" s="1" t="s">
        <v>64</v>
      </c>
      <c r="D447" s="1" t="s">
        <v>66</v>
      </c>
      <c r="E447" s="1" t="s">
        <v>67</v>
      </c>
      <c r="F447" s="1" t="s">
        <v>23</v>
      </c>
      <c r="G447" s="1" t="s">
        <v>23</v>
      </c>
      <c r="H447">
        <v>11010014</v>
      </c>
      <c r="I447" s="1" t="s">
        <v>68</v>
      </c>
      <c r="J447">
        <v>30</v>
      </c>
      <c r="K447">
        <v>30</v>
      </c>
      <c r="L447" s="1" t="s">
        <v>65</v>
      </c>
      <c r="M447" s="1" t="s">
        <v>69</v>
      </c>
      <c r="N447">
        <v>35.620910500000001</v>
      </c>
      <c r="O447">
        <v>-92.187930499999993</v>
      </c>
      <c r="P447" s="1" t="s">
        <v>25</v>
      </c>
      <c r="Q447" s="1" t="s">
        <v>26</v>
      </c>
      <c r="R447" s="1" t="s">
        <v>70</v>
      </c>
      <c r="S447" s="2">
        <v>119.297</v>
      </c>
    </row>
    <row r="448" spans="1:19" x14ac:dyDescent="0.3">
      <c r="A448" s="1" t="s">
        <v>62</v>
      </c>
      <c r="B448" s="1" t="s">
        <v>63</v>
      </c>
      <c r="C448" s="1" t="s">
        <v>64</v>
      </c>
      <c r="D448" s="1" t="s">
        <v>71</v>
      </c>
      <c r="E448" s="1" t="s">
        <v>72</v>
      </c>
      <c r="F448" s="1" t="s">
        <v>23</v>
      </c>
      <c r="G448" s="1" t="s">
        <v>23</v>
      </c>
      <c r="H448">
        <v>11010014</v>
      </c>
      <c r="I448" s="1" t="s">
        <v>73</v>
      </c>
      <c r="J448">
        <v>30</v>
      </c>
      <c r="K448">
        <v>30</v>
      </c>
      <c r="L448" s="1" t="s">
        <v>65</v>
      </c>
      <c r="M448" s="1" t="s">
        <v>69</v>
      </c>
      <c r="N448">
        <v>35.596027800000002</v>
      </c>
      <c r="O448">
        <v>-92.168027800000004</v>
      </c>
      <c r="P448" s="1" t="s">
        <v>25</v>
      </c>
      <c r="Q448" s="1" t="s">
        <v>26</v>
      </c>
      <c r="R448" s="1" t="s">
        <v>70</v>
      </c>
      <c r="S448" s="2">
        <v>119.297</v>
      </c>
    </row>
  </sheetData>
  <sortState xmlns:xlrd2="http://schemas.microsoft.com/office/spreadsheetml/2017/richdata2" ref="A2:S1601">
    <sortCondition descending="1" ref="K1:K160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8B085-F6C2-4ECC-BAAC-9852191C0576}">
  <dimension ref="A1:I450"/>
  <sheetViews>
    <sheetView workbookViewId="0">
      <selection activeCell="B6" sqref="B6"/>
    </sheetView>
  </sheetViews>
  <sheetFormatPr defaultRowHeight="14.4" x14ac:dyDescent="0.3"/>
  <cols>
    <col min="1" max="1" width="24.77734375" style="1" bestFit="1" customWidth="1"/>
    <col min="2" max="2" width="28.33203125" style="1" bestFit="1" customWidth="1"/>
    <col min="3" max="3" width="12.21875" style="1" bestFit="1" customWidth="1"/>
    <col min="4" max="4" width="8.88671875" style="1"/>
    <col min="5" max="5" width="10.88671875" style="2" customWidth="1"/>
    <col min="6" max="6" width="16.44140625" style="1" customWidth="1"/>
    <col min="8" max="8" width="23" bestFit="1" customWidth="1"/>
  </cols>
  <sheetData>
    <row r="1" spans="1:9" x14ac:dyDescent="0.3">
      <c r="A1" s="1" t="s">
        <v>16</v>
      </c>
      <c r="B1" s="1" t="s">
        <v>17</v>
      </c>
      <c r="C1" s="1" t="s">
        <v>11</v>
      </c>
      <c r="D1" s="1" t="s">
        <v>15</v>
      </c>
      <c r="E1" s="2" t="s">
        <v>18</v>
      </c>
      <c r="F1" s="1" t="s">
        <v>1597</v>
      </c>
    </row>
    <row r="2" spans="1:9" x14ac:dyDescent="0.3">
      <c r="A2" s="1" t="s">
        <v>26</v>
      </c>
      <c r="B2" s="1" t="s">
        <v>545</v>
      </c>
      <c r="C2" s="1" t="s">
        <v>402</v>
      </c>
      <c r="D2" s="1" t="s">
        <v>396</v>
      </c>
      <c r="E2" s="2">
        <v>81837.100000000006</v>
      </c>
      <c r="F2" s="1">
        <f>COUNTIF('Subset_step1_Area&gt;100'!$R$2:$R$448,B2)</f>
        <v>15</v>
      </c>
      <c r="H2" s="3" t="s">
        <v>1595</v>
      </c>
      <c r="I2" s="3">
        <v>57</v>
      </c>
    </row>
    <row r="3" spans="1:9" x14ac:dyDescent="0.3">
      <c r="A3" s="1" t="s">
        <v>26</v>
      </c>
      <c r="B3" s="1" t="s">
        <v>518</v>
      </c>
      <c r="C3" s="1" t="s">
        <v>1479</v>
      </c>
      <c r="D3" s="1" t="s">
        <v>25</v>
      </c>
      <c r="E3" s="2">
        <v>52823.5</v>
      </c>
      <c r="F3" s="1">
        <f>COUNTIF('Subset_step1_Area&gt;100'!$R$2:$R$448,B3)</f>
        <v>47</v>
      </c>
      <c r="H3" s="3" t="s">
        <v>1598</v>
      </c>
      <c r="I3" s="4">
        <f>57-COUNTIF(D2:D58,"USA")</f>
        <v>8</v>
      </c>
    </row>
    <row r="4" spans="1:9" x14ac:dyDescent="0.3">
      <c r="A4" s="1" t="s">
        <v>26</v>
      </c>
      <c r="B4" s="1" t="s">
        <v>483</v>
      </c>
      <c r="C4" s="1" t="s">
        <v>402</v>
      </c>
      <c r="D4" s="1" t="s">
        <v>396</v>
      </c>
      <c r="E4" s="2">
        <v>42496.7</v>
      </c>
      <c r="F4" s="1">
        <f>COUNTIF('Subset_step1_Area&gt;100'!$R$2:$R$448,B4)</f>
        <v>11</v>
      </c>
      <c r="H4" s="3" t="s">
        <v>1596</v>
      </c>
      <c r="I4" s="3">
        <v>23</v>
      </c>
    </row>
    <row r="5" spans="1:9" x14ac:dyDescent="0.3">
      <c r="A5" s="1" t="s">
        <v>26</v>
      </c>
      <c r="B5" s="1" t="s">
        <v>915</v>
      </c>
      <c r="C5" s="1" t="s">
        <v>913</v>
      </c>
      <c r="D5" s="1" t="s">
        <v>396</v>
      </c>
      <c r="E5" s="2">
        <v>25718.799999999999</v>
      </c>
      <c r="F5" s="1">
        <f>COUNTIF('Subset_step1_Area&gt;100'!$R$2:$R$448,B5)</f>
        <v>10</v>
      </c>
    </row>
    <row r="6" spans="1:9" x14ac:dyDescent="0.3">
      <c r="A6" s="1" t="s">
        <v>26</v>
      </c>
      <c r="B6" s="1" t="s">
        <v>809</v>
      </c>
      <c r="C6" s="1" t="s">
        <v>776</v>
      </c>
      <c r="D6" s="1" t="s">
        <v>396</v>
      </c>
      <c r="E6" s="2">
        <v>18934.7</v>
      </c>
      <c r="F6" s="1">
        <f>COUNTIF('Subset_step1_Area&gt;100'!$R$2:$R$448,B6)</f>
        <v>3</v>
      </c>
    </row>
    <row r="7" spans="1:9" x14ac:dyDescent="0.3">
      <c r="A7" s="1" t="s">
        <v>26</v>
      </c>
      <c r="B7" s="1" t="s">
        <v>1404</v>
      </c>
      <c r="C7" s="1" t="s">
        <v>1403</v>
      </c>
      <c r="D7" s="1" t="s">
        <v>25</v>
      </c>
      <c r="E7" s="2">
        <v>4443.97</v>
      </c>
      <c r="F7" s="1">
        <f>COUNTIF('Subset_step1_Area&gt;100'!$R$2:$R$448,B7)</f>
        <v>4</v>
      </c>
    </row>
    <row r="8" spans="1:9" x14ac:dyDescent="0.3">
      <c r="A8" s="1" t="s">
        <v>26</v>
      </c>
      <c r="B8" s="1" t="s">
        <v>404</v>
      </c>
      <c r="C8" s="1" t="s">
        <v>402</v>
      </c>
      <c r="D8" s="1" t="s">
        <v>25</v>
      </c>
      <c r="E8" s="2">
        <v>2976.93</v>
      </c>
      <c r="F8" s="1">
        <f>COUNTIF('Subset_step1_Area&gt;100'!$R$2:$R$448,B8)</f>
        <v>15</v>
      </c>
    </row>
    <row r="9" spans="1:9" x14ac:dyDescent="0.3">
      <c r="A9" s="1" t="s">
        <v>26</v>
      </c>
      <c r="B9" s="1" t="s">
        <v>387</v>
      </c>
      <c r="C9" s="1" t="s">
        <v>385</v>
      </c>
      <c r="D9" s="1" t="s">
        <v>25</v>
      </c>
      <c r="E9" s="2">
        <v>1639.9</v>
      </c>
      <c r="F9" s="1">
        <f>COUNTIF('Subset_step1_Area&gt;100'!$R$2:$R$448,B9)</f>
        <v>3</v>
      </c>
    </row>
    <row r="10" spans="1:9" x14ac:dyDescent="0.3">
      <c r="A10" s="1" t="s">
        <v>26</v>
      </c>
      <c r="B10" s="1" t="s">
        <v>192</v>
      </c>
      <c r="C10" s="1" t="s">
        <v>127</v>
      </c>
      <c r="D10" s="1" t="s">
        <v>25</v>
      </c>
      <c r="E10" s="2">
        <v>1470.65</v>
      </c>
      <c r="F10" s="1">
        <f>COUNTIF('Subset_step1_Area&gt;100'!$R$2:$R$448,B10)</f>
        <v>30</v>
      </c>
    </row>
    <row r="11" spans="1:9" x14ac:dyDescent="0.3">
      <c r="A11" s="1" t="s">
        <v>26</v>
      </c>
      <c r="B11" s="1" t="s">
        <v>896</v>
      </c>
      <c r="C11" s="1" t="s">
        <v>1182</v>
      </c>
      <c r="D11" s="1" t="s">
        <v>25</v>
      </c>
      <c r="E11" s="2">
        <v>1285.24</v>
      </c>
      <c r="F11" s="1">
        <f>COUNTIF('Subset_step1_Area&gt;100'!$R$2:$R$448,B11)</f>
        <v>5</v>
      </c>
    </row>
    <row r="12" spans="1:9" x14ac:dyDescent="0.3">
      <c r="A12" s="1" t="s">
        <v>26</v>
      </c>
      <c r="B12" s="1" t="s">
        <v>824</v>
      </c>
      <c r="C12" s="1" t="s">
        <v>816</v>
      </c>
      <c r="D12" s="1" t="s">
        <v>25</v>
      </c>
      <c r="E12" s="2">
        <v>1214.02</v>
      </c>
      <c r="F12" s="1">
        <f>COUNTIF('Subset_step1_Area&gt;100'!$R$2:$R$448,B12)</f>
        <v>19</v>
      </c>
    </row>
    <row r="13" spans="1:9" x14ac:dyDescent="0.3">
      <c r="A13" s="1" t="s">
        <v>26</v>
      </c>
      <c r="B13" s="1" t="s">
        <v>783</v>
      </c>
      <c r="C13" s="1" t="s">
        <v>776</v>
      </c>
      <c r="D13" s="1" t="s">
        <v>396</v>
      </c>
      <c r="E13" s="2">
        <v>1117.76</v>
      </c>
      <c r="F13" s="1">
        <f>COUNTIF('Subset_step1_Area&gt;100'!$R$2:$R$448,B13)</f>
        <v>32</v>
      </c>
    </row>
    <row r="14" spans="1:9" x14ac:dyDescent="0.3">
      <c r="A14" s="1" t="s">
        <v>26</v>
      </c>
      <c r="B14" s="1" t="s">
        <v>697</v>
      </c>
      <c r="C14" s="1" t="s">
        <v>683</v>
      </c>
      <c r="D14" s="1" t="s">
        <v>25</v>
      </c>
      <c r="E14" s="2">
        <v>912.18100000000004</v>
      </c>
      <c r="F14" s="1">
        <f>COUNTIF('Subset_step1_Area&gt;100'!$R$2:$R$448,B14)</f>
        <v>3</v>
      </c>
    </row>
    <row r="15" spans="1:9" x14ac:dyDescent="0.3">
      <c r="A15" s="1" t="s">
        <v>26</v>
      </c>
      <c r="B15" s="1" t="s">
        <v>458</v>
      </c>
      <c r="C15" s="1" t="s">
        <v>402</v>
      </c>
      <c r="D15" s="1" t="s">
        <v>25</v>
      </c>
      <c r="E15" s="2">
        <v>735.79399999999998</v>
      </c>
      <c r="F15" s="1">
        <f>COUNTIF('Subset_step1_Area&gt;100'!$R$2:$R$448,B15)</f>
        <v>4</v>
      </c>
    </row>
    <row r="16" spans="1:9" x14ac:dyDescent="0.3">
      <c r="A16" s="1" t="s">
        <v>26</v>
      </c>
      <c r="B16" s="1" t="s">
        <v>649</v>
      </c>
      <c r="C16" s="1" t="s">
        <v>582</v>
      </c>
      <c r="D16" s="1" t="s">
        <v>25</v>
      </c>
      <c r="E16" s="2">
        <v>663.31200000000001</v>
      </c>
      <c r="F16" s="1">
        <f>COUNTIF('Subset_step1_Area&gt;100'!$R$2:$R$448,B16)</f>
        <v>5</v>
      </c>
    </row>
    <row r="17" spans="1:6" x14ac:dyDescent="0.3">
      <c r="A17" s="1" t="s">
        <v>1594</v>
      </c>
      <c r="B17" s="1" t="s">
        <v>1256</v>
      </c>
      <c r="C17" s="1" t="s">
        <v>1232</v>
      </c>
      <c r="D17" s="1" t="s">
        <v>25</v>
      </c>
      <c r="E17" s="2">
        <v>636.72</v>
      </c>
      <c r="F17" s="1">
        <f>COUNTIF('Subset_step1_Area&gt;100'!$R$2:$R$448,B17)</f>
        <v>1</v>
      </c>
    </row>
    <row r="18" spans="1:6" x14ac:dyDescent="0.3">
      <c r="A18" s="1" t="s">
        <v>26</v>
      </c>
      <c r="B18" s="1" t="s">
        <v>725</v>
      </c>
      <c r="C18" s="1" t="s">
        <v>723</v>
      </c>
      <c r="D18" s="1" t="s">
        <v>25</v>
      </c>
      <c r="E18" s="2">
        <v>595.22400000000005</v>
      </c>
      <c r="F18" s="1">
        <f>COUNTIF('Subset_step1_Area&gt;100'!$R$2:$R$448,B18)</f>
        <v>4</v>
      </c>
    </row>
    <row r="19" spans="1:6" x14ac:dyDescent="0.3">
      <c r="A19" s="1" t="s">
        <v>26</v>
      </c>
      <c r="B19" s="1" t="s">
        <v>596</v>
      </c>
      <c r="C19" s="1" t="s">
        <v>582</v>
      </c>
      <c r="D19" s="1" t="s">
        <v>25</v>
      </c>
      <c r="E19" s="2">
        <v>511.649</v>
      </c>
      <c r="F19" s="1">
        <f>COUNTIF('Subset_step1_Area&gt;100'!$R$2:$R$448,B19)</f>
        <v>16</v>
      </c>
    </row>
    <row r="20" spans="1:6" x14ac:dyDescent="0.3">
      <c r="A20" s="1" t="s">
        <v>26</v>
      </c>
      <c r="B20" s="1" t="s">
        <v>665</v>
      </c>
      <c r="C20" s="1" t="s">
        <v>582</v>
      </c>
      <c r="D20" s="1" t="s">
        <v>25</v>
      </c>
      <c r="E20" s="2">
        <v>482.39800000000002</v>
      </c>
      <c r="F20" s="1">
        <f>COUNTIF('Subset_step1_Area&gt;100'!$R$2:$R$448,B20)</f>
        <v>5</v>
      </c>
    </row>
    <row r="21" spans="1:6" x14ac:dyDescent="0.3">
      <c r="A21" s="1" t="s">
        <v>1594</v>
      </c>
      <c r="B21" s="1" t="s">
        <v>1273</v>
      </c>
      <c r="C21" s="1" t="s">
        <v>1232</v>
      </c>
      <c r="D21" s="1" t="s">
        <v>25</v>
      </c>
      <c r="E21" s="2">
        <v>439.49200000000002</v>
      </c>
      <c r="F21" s="1">
        <f>COUNTIF('Subset_step1_Area&gt;100'!$R$2:$R$448,B21)</f>
        <v>7</v>
      </c>
    </row>
    <row r="22" spans="1:6" x14ac:dyDescent="0.3">
      <c r="A22" s="1" t="s">
        <v>26</v>
      </c>
      <c r="B22" s="1" t="s">
        <v>434</v>
      </c>
      <c r="C22" s="1" t="s">
        <v>816</v>
      </c>
      <c r="D22" s="1" t="s">
        <v>25</v>
      </c>
      <c r="E22" s="2">
        <v>359.2</v>
      </c>
      <c r="F22" s="1">
        <f>COUNTIF('Subset_step1_Area&gt;100'!$R$2:$R$448,B22)</f>
        <v>9</v>
      </c>
    </row>
    <row r="23" spans="1:6" x14ac:dyDescent="0.3">
      <c r="A23" s="1" t="s">
        <v>26</v>
      </c>
      <c r="B23" s="1" t="s">
        <v>1239</v>
      </c>
      <c r="C23" s="1" t="s">
        <v>1232</v>
      </c>
      <c r="D23" s="1" t="s">
        <v>25</v>
      </c>
      <c r="E23" s="2">
        <v>341.50400000000002</v>
      </c>
      <c r="F23" s="1">
        <f>COUNTIF('Subset_step1_Area&gt;100'!$R$2:$R$448,B23)</f>
        <v>5</v>
      </c>
    </row>
    <row r="24" spans="1:6" x14ac:dyDescent="0.3">
      <c r="A24" s="1" t="s">
        <v>26</v>
      </c>
      <c r="B24" s="1" t="s">
        <v>1196</v>
      </c>
      <c r="C24" s="1" t="s">
        <v>1182</v>
      </c>
      <c r="D24" s="1" t="s">
        <v>25</v>
      </c>
      <c r="E24" s="2">
        <v>331.62299999999999</v>
      </c>
      <c r="F24" s="1">
        <f>COUNTIF('Subset_step1_Area&gt;100'!$R$2:$R$448,B24)</f>
        <v>4</v>
      </c>
    </row>
    <row r="25" spans="1:6" x14ac:dyDescent="0.3">
      <c r="A25" s="1" t="s">
        <v>26</v>
      </c>
      <c r="B25" s="1" t="s">
        <v>180</v>
      </c>
      <c r="C25" s="1" t="s">
        <v>1043</v>
      </c>
      <c r="D25" s="1" t="s">
        <v>25</v>
      </c>
      <c r="E25" s="2">
        <v>324.315</v>
      </c>
      <c r="F25" s="1">
        <f>COUNTIF('Subset_step1_Area&gt;100'!$R$2:$R$448,B25)</f>
        <v>31</v>
      </c>
    </row>
    <row r="26" spans="1:6" x14ac:dyDescent="0.3">
      <c r="A26" s="1" t="s">
        <v>26</v>
      </c>
      <c r="B26" s="1" t="s">
        <v>1288</v>
      </c>
      <c r="C26" s="1" t="s">
        <v>1232</v>
      </c>
      <c r="D26" s="1" t="s">
        <v>25</v>
      </c>
      <c r="E26" s="2">
        <v>302.84300000000002</v>
      </c>
      <c r="F26" s="1">
        <f>COUNTIF('Subset_step1_Area&gt;100'!$R$2:$R$448,B26)</f>
        <v>4</v>
      </c>
    </row>
    <row r="27" spans="1:6" x14ac:dyDescent="0.3">
      <c r="A27" s="1" t="s">
        <v>26</v>
      </c>
      <c r="B27" s="1" t="s">
        <v>1478</v>
      </c>
      <c r="C27" s="1" t="s">
        <v>1476</v>
      </c>
      <c r="D27" s="1" t="s">
        <v>25</v>
      </c>
      <c r="E27" s="2">
        <v>302.57299999999998</v>
      </c>
      <c r="F27" s="1">
        <f>COUNTIF('Subset_step1_Area&gt;100'!$R$2:$R$448,B27)</f>
        <v>1</v>
      </c>
    </row>
    <row r="28" spans="1:6" x14ac:dyDescent="0.3">
      <c r="A28" s="1" t="s">
        <v>1594</v>
      </c>
      <c r="B28" s="1" t="s">
        <v>1302</v>
      </c>
      <c r="C28" s="1" t="s">
        <v>1232</v>
      </c>
      <c r="D28" s="1" t="s">
        <v>1301</v>
      </c>
      <c r="E28" s="2">
        <v>294.53800000000001</v>
      </c>
      <c r="F28" s="1">
        <f>COUNTIF('Subset_step1_Area&gt;100'!$R$2:$R$448,B28)</f>
        <v>1</v>
      </c>
    </row>
    <row r="29" spans="1:6" x14ac:dyDescent="0.3">
      <c r="A29" s="1" t="s">
        <v>26</v>
      </c>
      <c r="B29" s="1" t="s">
        <v>984</v>
      </c>
      <c r="C29" s="1" t="s">
        <v>947</v>
      </c>
      <c r="D29" s="1" t="s">
        <v>25</v>
      </c>
      <c r="E29" s="2">
        <v>275.04399999999998</v>
      </c>
      <c r="F29" s="1">
        <f>COUNTIF('Subset_step1_Area&gt;100'!$R$2:$R$448,B29)</f>
        <v>2</v>
      </c>
    </row>
    <row r="30" spans="1:6" x14ac:dyDescent="0.3">
      <c r="A30" s="1" t="s">
        <v>26</v>
      </c>
      <c r="B30" s="1" t="s">
        <v>1184</v>
      </c>
      <c r="C30" s="1" t="s">
        <v>1182</v>
      </c>
      <c r="D30" s="1" t="s">
        <v>25</v>
      </c>
      <c r="E30" s="2">
        <v>234.22399999999999</v>
      </c>
      <c r="F30" s="1">
        <f>COUNTIF('Subset_step1_Area&gt;100'!$R$2:$R$448,B30)</f>
        <v>3</v>
      </c>
    </row>
    <row r="31" spans="1:6" x14ac:dyDescent="0.3">
      <c r="A31" s="1" t="s">
        <v>26</v>
      </c>
      <c r="B31" s="1" t="s">
        <v>685</v>
      </c>
      <c r="C31" s="1" t="s">
        <v>683</v>
      </c>
      <c r="D31" s="1" t="s">
        <v>396</v>
      </c>
      <c r="E31" s="2">
        <v>233.62200000000001</v>
      </c>
      <c r="F31" s="1">
        <f>COUNTIF('Subset_step1_Area&gt;100'!$R$2:$R$448,B31)</f>
        <v>3</v>
      </c>
    </row>
    <row r="32" spans="1:6" x14ac:dyDescent="0.3">
      <c r="A32" s="1" t="s">
        <v>26</v>
      </c>
      <c r="B32" s="1" t="s">
        <v>1083</v>
      </c>
      <c r="C32" s="1" t="s">
        <v>1043</v>
      </c>
      <c r="D32" s="1" t="s">
        <v>25</v>
      </c>
      <c r="E32" s="2">
        <v>233.22800000000001</v>
      </c>
      <c r="F32" s="1">
        <f>COUNTIF('Subset_step1_Area&gt;100'!$R$2:$R$448,B32)</f>
        <v>12</v>
      </c>
    </row>
    <row r="33" spans="1:6" x14ac:dyDescent="0.3">
      <c r="A33" s="1" t="s">
        <v>26</v>
      </c>
      <c r="B33" s="1" t="s">
        <v>949</v>
      </c>
      <c r="C33" s="1" t="s">
        <v>947</v>
      </c>
      <c r="D33" s="1" t="s">
        <v>25</v>
      </c>
      <c r="E33" s="2">
        <v>228.505</v>
      </c>
      <c r="F33" s="1">
        <f>COUNTIF('Subset_step1_Area&gt;100'!$R$2:$R$448,B33)</f>
        <v>27</v>
      </c>
    </row>
    <row r="34" spans="1:6" x14ac:dyDescent="0.3">
      <c r="A34" s="1" t="s">
        <v>1594</v>
      </c>
      <c r="B34" s="1" t="s">
        <v>340</v>
      </c>
      <c r="C34" s="1" t="s">
        <v>332</v>
      </c>
      <c r="D34" s="1" t="s">
        <v>25</v>
      </c>
      <c r="E34" s="2">
        <v>221.44399999999999</v>
      </c>
      <c r="F34" s="1">
        <f>COUNTIF('Subset_step1_Area&gt;100'!$R$2:$R$448,B34)</f>
        <v>3</v>
      </c>
    </row>
    <row r="35" spans="1:6" x14ac:dyDescent="0.3">
      <c r="A35" s="1" t="s">
        <v>1594</v>
      </c>
      <c r="B35" s="1" t="s">
        <v>1307</v>
      </c>
      <c r="C35" s="1" t="s">
        <v>1232</v>
      </c>
      <c r="D35" s="1" t="s">
        <v>1301</v>
      </c>
      <c r="E35" s="2">
        <v>217.08699999999999</v>
      </c>
      <c r="F35" s="1">
        <f>COUNTIF('Subset_step1_Area&gt;100'!$R$2:$R$448,B35)</f>
        <v>2</v>
      </c>
    </row>
    <row r="36" spans="1:6" x14ac:dyDescent="0.3">
      <c r="A36" s="1" t="s">
        <v>26</v>
      </c>
      <c r="B36" s="1" t="s">
        <v>173</v>
      </c>
      <c r="C36" s="1" t="s">
        <v>127</v>
      </c>
      <c r="D36" s="1" t="s">
        <v>25</v>
      </c>
      <c r="E36" s="2">
        <v>214.29</v>
      </c>
      <c r="F36" s="1">
        <f>COUNTIF('Subset_step1_Area&gt;100'!$R$2:$R$448,B36)</f>
        <v>9</v>
      </c>
    </row>
    <row r="37" spans="1:6" x14ac:dyDescent="0.3">
      <c r="A37" s="1" t="s">
        <v>26</v>
      </c>
      <c r="B37" s="1" t="s">
        <v>53</v>
      </c>
      <c r="C37" s="1" t="s">
        <v>24</v>
      </c>
      <c r="D37" s="1" t="s">
        <v>25</v>
      </c>
      <c r="E37" s="2">
        <v>199.803</v>
      </c>
      <c r="F37" s="1">
        <f>COUNTIF('Subset_step1_Area&gt;100'!$R$2:$R$448,B37)</f>
        <v>1</v>
      </c>
    </row>
    <row r="38" spans="1:6" x14ac:dyDescent="0.3">
      <c r="A38" s="1" t="s">
        <v>26</v>
      </c>
      <c r="B38" s="1" t="s">
        <v>778</v>
      </c>
      <c r="C38" s="1" t="s">
        <v>776</v>
      </c>
      <c r="D38" s="1" t="s">
        <v>25</v>
      </c>
      <c r="E38" s="2">
        <v>171.49600000000001</v>
      </c>
      <c r="F38" s="1">
        <f>COUNTIF('Subset_step1_Area&gt;100'!$R$2:$R$448,B38)</f>
        <v>1</v>
      </c>
    </row>
    <row r="39" spans="1:6" x14ac:dyDescent="0.3">
      <c r="A39" s="1" t="s">
        <v>1594</v>
      </c>
      <c r="B39" s="1" t="s">
        <v>1296</v>
      </c>
      <c r="C39" s="1" t="s">
        <v>1232</v>
      </c>
      <c r="D39" s="1" t="s">
        <v>25</v>
      </c>
      <c r="E39" s="2">
        <v>169.14400000000001</v>
      </c>
      <c r="F39" s="1">
        <f>COUNTIF('Subset_step1_Area&gt;100'!$R$2:$R$448,B39)</f>
        <v>6</v>
      </c>
    </row>
    <row r="40" spans="1:6" x14ac:dyDescent="0.3">
      <c r="A40" s="1" t="s">
        <v>26</v>
      </c>
      <c r="B40" s="1" t="s">
        <v>89</v>
      </c>
      <c r="C40" s="1" t="s">
        <v>87</v>
      </c>
      <c r="D40" s="1" t="s">
        <v>25</v>
      </c>
      <c r="E40" s="2">
        <v>159.102</v>
      </c>
      <c r="F40" s="1">
        <f>COUNTIF('Subset_step1_Area&gt;100'!$R$2:$R$448,B40)</f>
        <v>12</v>
      </c>
    </row>
    <row r="41" spans="1:6" x14ac:dyDescent="0.3">
      <c r="A41" s="1" t="s">
        <v>26</v>
      </c>
      <c r="B41" s="1" t="s">
        <v>81</v>
      </c>
      <c r="C41" s="1" t="s">
        <v>65</v>
      </c>
      <c r="D41" s="1" t="s">
        <v>25</v>
      </c>
      <c r="E41" s="2">
        <v>153.02000000000001</v>
      </c>
      <c r="F41" s="1">
        <f>COUNTIF('Subset_step1_Area&gt;100'!$R$2:$R$448,B41)</f>
        <v>1</v>
      </c>
    </row>
    <row r="42" spans="1:6" x14ac:dyDescent="0.3">
      <c r="A42" s="1" t="s">
        <v>26</v>
      </c>
      <c r="B42" s="1" t="s">
        <v>1261</v>
      </c>
      <c r="C42" s="1" t="s">
        <v>1232</v>
      </c>
      <c r="D42" s="1" t="s">
        <v>25</v>
      </c>
      <c r="E42" s="2">
        <v>146.791</v>
      </c>
      <c r="F42" s="1">
        <f>COUNTIF('Subset_step1_Area&gt;100'!$R$2:$R$448,B42)</f>
        <v>3</v>
      </c>
    </row>
    <row r="43" spans="1:6" x14ac:dyDescent="0.3">
      <c r="A43" s="1" t="s">
        <v>26</v>
      </c>
      <c r="B43" s="1" t="s">
        <v>739</v>
      </c>
      <c r="C43" s="1" t="s">
        <v>723</v>
      </c>
      <c r="D43" s="1" t="s">
        <v>25</v>
      </c>
      <c r="E43" s="2">
        <v>142.54</v>
      </c>
      <c r="F43" s="1">
        <f>COUNTIF('Subset_step1_Area&gt;100'!$R$2:$R$448,B43)</f>
        <v>10</v>
      </c>
    </row>
    <row r="44" spans="1:6" x14ac:dyDescent="0.3">
      <c r="A44" s="1" t="s">
        <v>26</v>
      </c>
      <c r="B44" s="1" t="s">
        <v>134</v>
      </c>
      <c r="C44" s="1" t="s">
        <v>127</v>
      </c>
      <c r="D44" s="1" t="s">
        <v>25</v>
      </c>
      <c r="E44" s="2">
        <v>137.49</v>
      </c>
      <c r="F44" s="1">
        <f>COUNTIF('Subset_step1_Area&gt;100'!$R$2:$R$448,B44)</f>
        <v>5</v>
      </c>
    </row>
    <row r="45" spans="1:6" x14ac:dyDescent="0.3">
      <c r="A45" s="1" t="s">
        <v>1594</v>
      </c>
      <c r="B45" s="1" t="s">
        <v>323</v>
      </c>
      <c r="C45" s="1" t="s">
        <v>322</v>
      </c>
      <c r="D45" s="1" t="s">
        <v>25</v>
      </c>
      <c r="E45" s="2">
        <v>134.92699999999999</v>
      </c>
      <c r="F45" s="1">
        <f>COUNTIF('Subset_step1_Area&gt;100'!$R$2:$R$448,B45)</f>
        <v>3</v>
      </c>
    </row>
    <row r="46" spans="1:6" x14ac:dyDescent="0.3">
      <c r="A46" s="1" t="s">
        <v>26</v>
      </c>
      <c r="B46" s="1" t="s">
        <v>36</v>
      </c>
      <c r="C46" s="1" t="s">
        <v>24</v>
      </c>
      <c r="D46" s="1" t="s">
        <v>25</v>
      </c>
      <c r="E46" s="2">
        <v>133.64099999999999</v>
      </c>
      <c r="F46" s="1">
        <f>COUNTIF('Subset_step1_Area&gt;100'!$R$2:$R$448,B46)</f>
        <v>4</v>
      </c>
    </row>
    <row r="47" spans="1:6" x14ac:dyDescent="0.3">
      <c r="A47" s="1" t="s">
        <v>26</v>
      </c>
      <c r="B47" s="1" t="s">
        <v>373</v>
      </c>
      <c r="C47" s="1" t="s">
        <v>368</v>
      </c>
      <c r="D47" s="1" t="s">
        <v>25</v>
      </c>
      <c r="E47" s="2">
        <v>132.78299999999999</v>
      </c>
      <c r="F47" s="1">
        <f>COUNTIF('Subset_step1_Area&gt;100'!$R$2:$R$448,B47)</f>
        <v>3</v>
      </c>
    </row>
    <row r="48" spans="1:6" x14ac:dyDescent="0.3">
      <c r="A48" s="1" t="s">
        <v>1594</v>
      </c>
      <c r="B48" s="1" t="s">
        <v>1366</v>
      </c>
      <c r="C48" s="1" t="s">
        <v>1232</v>
      </c>
      <c r="D48" s="1" t="s">
        <v>25</v>
      </c>
      <c r="E48" s="2">
        <v>127.657</v>
      </c>
      <c r="F48" s="1">
        <f>COUNTIF('Subset_step1_Area&gt;100'!$R$2:$R$448,B48)</f>
        <v>6</v>
      </c>
    </row>
    <row r="49" spans="1:6" x14ac:dyDescent="0.3">
      <c r="A49" s="1" t="s">
        <v>26</v>
      </c>
      <c r="B49" s="1" t="s">
        <v>294</v>
      </c>
      <c r="C49" s="1" t="s">
        <v>127</v>
      </c>
      <c r="D49" s="1" t="s">
        <v>25</v>
      </c>
      <c r="E49" s="2">
        <v>124.66200000000001</v>
      </c>
      <c r="F49" s="1">
        <f>COUNTIF('Subset_step1_Area&gt;100'!$R$2:$R$448,B49)</f>
        <v>3</v>
      </c>
    </row>
    <row r="50" spans="1:6" x14ac:dyDescent="0.3">
      <c r="A50" s="1" t="s">
        <v>26</v>
      </c>
      <c r="B50" s="1" t="s">
        <v>717</v>
      </c>
      <c r="C50" s="1" t="s">
        <v>705</v>
      </c>
      <c r="D50" s="1" t="s">
        <v>25</v>
      </c>
      <c r="E50" s="2">
        <v>122.18600000000001</v>
      </c>
      <c r="F50" s="1">
        <f>COUNTIF('Subset_step1_Area&gt;100'!$R$2:$R$448,B50)</f>
        <v>3</v>
      </c>
    </row>
    <row r="51" spans="1:6" x14ac:dyDescent="0.3">
      <c r="A51" s="1" t="s">
        <v>26</v>
      </c>
      <c r="B51" s="1" t="s">
        <v>70</v>
      </c>
      <c r="C51" s="1" t="s">
        <v>65</v>
      </c>
      <c r="D51" s="1" t="s">
        <v>25</v>
      </c>
      <c r="E51" s="2">
        <v>119.297</v>
      </c>
      <c r="F51" s="1">
        <f>COUNTIF('Subset_step1_Area&gt;100'!$R$2:$R$448,B51)</f>
        <v>2</v>
      </c>
    </row>
    <row r="52" spans="1:6" x14ac:dyDescent="0.3">
      <c r="A52" s="1" t="s">
        <v>26</v>
      </c>
      <c r="B52" s="1" t="s">
        <v>31</v>
      </c>
      <c r="C52" s="1" t="s">
        <v>24</v>
      </c>
      <c r="D52" s="1" t="s">
        <v>25</v>
      </c>
      <c r="E52" s="2">
        <v>116.684</v>
      </c>
      <c r="F52" s="1">
        <f>COUNTIF('Subset_step1_Area&gt;100'!$R$2:$R$448,B52)</f>
        <v>4</v>
      </c>
    </row>
    <row r="53" spans="1:6" x14ac:dyDescent="0.3">
      <c r="A53" s="1" t="s">
        <v>26</v>
      </c>
      <c r="B53" s="1" t="s">
        <v>1246</v>
      </c>
      <c r="C53" s="1" t="s">
        <v>1232</v>
      </c>
      <c r="D53" s="1" t="s">
        <v>25</v>
      </c>
      <c r="E53" s="2">
        <v>115.259</v>
      </c>
      <c r="F53" s="1">
        <f>COUNTIF('Subset_step1_Area&gt;100'!$R$2:$R$448,B53)</f>
        <v>6</v>
      </c>
    </row>
    <row r="54" spans="1:6" x14ac:dyDescent="0.3">
      <c r="A54" s="1" t="s">
        <v>26</v>
      </c>
      <c r="B54" s="1" t="s">
        <v>712</v>
      </c>
      <c r="C54" s="1" t="s">
        <v>705</v>
      </c>
      <c r="D54" s="1" t="s">
        <v>25</v>
      </c>
      <c r="E54" s="2">
        <v>113.08</v>
      </c>
      <c r="F54" s="1">
        <f>COUNTIF('Subset_step1_Area&gt;100'!$R$2:$R$448,B54)</f>
        <v>1</v>
      </c>
    </row>
    <row r="55" spans="1:6" x14ac:dyDescent="0.3">
      <c r="A55" s="1" t="s">
        <v>26</v>
      </c>
      <c r="B55" s="1" t="s">
        <v>149</v>
      </c>
      <c r="C55" s="1" t="s">
        <v>127</v>
      </c>
      <c r="D55" s="1" t="s">
        <v>25</v>
      </c>
      <c r="E55" s="2">
        <v>110.76300000000001</v>
      </c>
      <c r="F55" s="1">
        <f>COUNTIF('Subset_step1_Area&gt;100'!$R$2:$R$448,B55)</f>
        <v>9</v>
      </c>
    </row>
    <row r="56" spans="1:6" x14ac:dyDescent="0.3">
      <c r="A56" s="1" t="s">
        <v>26</v>
      </c>
      <c r="B56" s="1" t="s">
        <v>1312</v>
      </c>
      <c r="C56" s="1" t="s">
        <v>1232</v>
      </c>
      <c r="D56" s="1" t="s">
        <v>25</v>
      </c>
      <c r="E56" s="2">
        <v>107.908</v>
      </c>
      <c r="F56" s="1">
        <f>COUNTIF('Subset_step1_Area&gt;100'!$R$2:$R$448,B56)</f>
        <v>3</v>
      </c>
    </row>
    <row r="57" spans="1:6" x14ac:dyDescent="0.3">
      <c r="A57" s="1" t="s">
        <v>1594</v>
      </c>
      <c r="B57" s="1" t="s">
        <v>350</v>
      </c>
      <c r="C57" s="1" t="s">
        <v>332</v>
      </c>
      <c r="D57" s="1" t="s">
        <v>25</v>
      </c>
      <c r="E57" s="2">
        <v>105.286</v>
      </c>
      <c r="F57" s="1">
        <f>COUNTIF('Subset_step1_Area&gt;100'!$R$2:$R$448,B57)</f>
        <v>4</v>
      </c>
    </row>
    <row r="58" spans="1:6" x14ac:dyDescent="0.3">
      <c r="A58" s="1" t="s">
        <v>26</v>
      </c>
      <c r="B58" s="1" t="s">
        <v>1250</v>
      </c>
      <c r="C58" s="1" t="s">
        <v>1232</v>
      </c>
      <c r="D58" s="1" t="s">
        <v>25</v>
      </c>
      <c r="E58" s="2">
        <v>103.467</v>
      </c>
      <c r="F58" s="1">
        <f>COUNTIF('Subset_step1_Area&gt;100'!$R$2:$R$448,B58)</f>
        <v>2</v>
      </c>
    </row>
    <row r="60" spans="1:6" x14ac:dyDescent="0.3">
      <c r="A60"/>
      <c r="B60"/>
      <c r="C60"/>
      <c r="D60"/>
      <c r="E60"/>
      <c r="F60"/>
    </row>
    <row r="61" spans="1:6" x14ac:dyDescent="0.3">
      <c r="A61"/>
      <c r="B61"/>
      <c r="C61"/>
      <c r="D61"/>
      <c r="E61"/>
      <c r="F61"/>
    </row>
    <row r="62" spans="1:6" x14ac:dyDescent="0.3">
      <c r="A62"/>
      <c r="B62"/>
      <c r="C62"/>
      <c r="D62"/>
      <c r="E62"/>
      <c r="F62"/>
    </row>
    <row r="63" spans="1:6" x14ac:dyDescent="0.3">
      <c r="A63"/>
      <c r="B63"/>
      <c r="C63"/>
      <c r="D63"/>
      <c r="E63"/>
      <c r="F63"/>
    </row>
    <row r="64" spans="1:6" x14ac:dyDescent="0.3">
      <c r="A64"/>
      <c r="B64"/>
      <c r="C64"/>
      <c r="D64"/>
      <c r="E64"/>
      <c r="F64"/>
    </row>
    <row r="65" customFormat="1" x14ac:dyDescent="0.3"/>
    <row r="66" customFormat="1" x14ac:dyDescent="0.3"/>
    <row r="67" customFormat="1" x14ac:dyDescent="0.3"/>
    <row r="68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</sheetData>
  <sortState xmlns:xlrd2="http://schemas.microsoft.com/office/spreadsheetml/2017/richdata2" ref="A2:E449">
    <sortCondition descending="1" ref="E1:E44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B5ACF-FC36-496F-9F43-1F498476D109}">
  <dimension ref="A1:S172"/>
  <sheetViews>
    <sheetView workbookViewId="0"/>
  </sheetViews>
  <sheetFormatPr defaultColWidth="11.33203125" defaultRowHeight="14.4" x14ac:dyDescent="0.3"/>
  <cols>
    <col min="1" max="7" width="11.33203125" style="1"/>
    <col min="9" max="9" width="11.33203125" style="1"/>
    <col min="10" max="10" width="14.21875" bestFit="1" customWidth="1"/>
    <col min="12" max="13" width="11.33203125" style="1"/>
    <col min="16" max="16" width="11.33203125" style="1"/>
    <col min="17" max="17" width="15.33203125" style="1" customWidth="1"/>
    <col min="18" max="18" width="28.33203125" style="1" bestFit="1" customWidth="1"/>
    <col min="19" max="19" width="11.33203125" style="2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I1" s="1" t="s">
        <v>8</v>
      </c>
      <c r="J1" t="s">
        <v>9</v>
      </c>
      <c r="K1" t="s">
        <v>10</v>
      </c>
      <c r="L1" s="1" t="s">
        <v>11</v>
      </c>
      <c r="M1" s="1" t="s">
        <v>12</v>
      </c>
      <c r="N1" t="s">
        <v>13</v>
      </c>
      <c r="O1" t="s">
        <v>14</v>
      </c>
      <c r="P1" s="1" t="s">
        <v>15</v>
      </c>
      <c r="Q1" s="1" t="s">
        <v>16</v>
      </c>
      <c r="R1" s="1" t="s">
        <v>17</v>
      </c>
      <c r="S1" s="2" t="s">
        <v>18</v>
      </c>
    </row>
    <row r="2" spans="1:19" x14ac:dyDescent="0.3">
      <c r="A2" s="1" t="s">
        <v>19</v>
      </c>
      <c r="B2" s="1" t="s">
        <v>769</v>
      </c>
      <c r="C2" s="1" t="s">
        <v>770</v>
      </c>
      <c r="D2" s="1" t="s">
        <v>779</v>
      </c>
      <c r="E2" s="1" t="s">
        <v>780</v>
      </c>
      <c r="F2" s="1" t="s">
        <v>61</v>
      </c>
      <c r="G2" s="1" t="s">
        <v>23</v>
      </c>
      <c r="H2">
        <v>4150408</v>
      </c>
      <c r="I2" s="1" t="s">
        <v>781</v>
      </c>
      <c r="J2">
        <v>3192</v>
      </c>
      <c r="K2">
        <v>3192</v>
      </c>
      <c r="L2" s="1" t="s">
        <v>776</v>
      </c>
      <c r="M2" s="1" t="s">
        <v>782</v>
      </c>
      <c r="N2">
        <v>44.4711</v>
      </c>
      <c r="O2">
        <v>-73.299199999999999</v>
      </c>
      <c r="P2" s="1" t="s">
        <v>396</v>
      </c>
      <c r="Q2" s="1" t="s">
        <v>26</v>
      </c>
      <c r="R2" s="1" t="s">
        <v>783</v>
      </c>
      <c r="S2" s="2">
        <v>1117.76</v>
      </c>
    </row>
    <row r="3" spans="1:19" x14ac:dyDescent="0.3">
      <c r="A3" s="1" t="s">
        <v>19</v>
      </c>
      <c r="B3" s="1" t="s">
        <v>769</v>
      </c>
      <c r="C3" s="1" t="s">
        <v>770</v>
      </c>
      <c r="D3" s="1" t="s">
        <v>1445</v>
      </c>
      <c r="E3" s="1" t="s">
        <v>1418</v>
      </c>
      <c r="F3" s="1" t="s">
        <v>61</v>
      </c>
      <c r="G3" s="1" t="s">
        <v>23</v>
      </c>
      <c r="H3">
        <v>4150408</v>
      </c>
      <c r="I3" s="1" t="s">
        <v>1446</v>
      </c>
      <c r="J3">
        <v>3028</v>
      </c>
      <c r="K3">
        <v>3028</v>
      </c>
      <c r="L3" s="1" t="s">
        <v>1415</v>
      </c>
      <c r="M3" s="1" t="s">
        <v>1416</v>
      </c>
      <c r="N3">
        <v>44.708100000000002</v>
      </c>
      <c r="O3">
        <v>-73.226900000000001</v>
      </c>
      <c r="P3" s="1" t="s">
        <v>396</v>
      </c>
      <c r="Q3" s="1" t="s">
        <v>26</v>
      </c>
      <c r="R3" s="1" t="s">
        <v>783</v>
      </c>
      <c r="S3" s="2">
        <v>1117.76</v>
      </c>
    </row>
    <row r="4" spans="1:19" x14ac:dyDescent="0.3">
      <c r="A4" s="1" t="s">
        <v>19</v>
      </c>
      <c r="B4" s="1" t="s">
        <v>769</v>
      </c>
      <c r="C4" s="1" t="s">
        <v>770</v>
      </c>
      <c r="D4" s="1" t="s">
        <v>787</v>
      </c>
      <c r="E4" s="1" t="s">
        <v>788</v>
      </c>
      <c r="F4" s="1" t="s">
        <v>61</v>
      </c>
      <c r="G4" s="1" t="s">
        <v>23</v>
      </c>
      <c r="H4">
        <v>4150408</v>
      </c>
      <c r="I4" s="1" t="s">
        <v>789</v>
      </c>
      <c r="J4">
        <v>2958</v>
      </c>
      <c r="K4">
        <v>2958</v>
      </c>
      <c r="L4" s="1" t="s">
        <v>776</v>
      </c>
      <c r="M4" s="1" t="s">
        <v>786</v>
      </c>
      <c r="N4">
        <v>44.756100000000004</v>
      </c>
      <c r="O4">
        <v>-73.355000000000004</v>
      </c>
      <c r="P4" s="1" t="s">
        <v>396</v>
      </c>
      <c r="Q4" s="1" t="s">
        <v>26</v>
      </c>
      <c r="R4" s="1" t="s">
        <v>783</v>
      </c>
      <c r="S4" s="2">
        <v>1117.76</v>
      </c>
    </row>
    <row r="5" spans="1:19" x14ac:dyDescent="0.3">
      <c r="A5" s="1" t="s">
        <v>19</v>
      </c>
      <c r="B5" s="1" t="s">
        <v>769</v>
      </c>
      <c r="C5" s="1" t="s">
        <v>770</v>
      </c>
      <c r="D5" s="1" t="s">
        <v>1424</v>
      </c>
      <c r="E5" s="1" t="s">
        <v>1425</v>
      </c>
      <c r="F5" s="1" t="s">
        <v>61</v>
      </c>
      <c r="G5" s="1" t="s">
        <v>23</v>
      </c>
      <c r="H5">
        <v>4150408</v>
      </c>
      <c r="I5" s="1" t="s">
        <v>1426</v>
      </c>
      <c r="J5">
        <v>2890</v>
      </c>
      <c r="K5">
        <v>2890</v>
      </c>
      <c r="L5" s="1" t="s">
        <v>1415</v>
      </c>
      <c r="M5" s="1" t="s">
        <v>1423</v>
      </c>
      <c r="N5">
        <v>44.242199999999997</v>
      </c>
      <c r="O5">
        <v>-73.3292</v>
      </c>
      <c r="P5" s="1" t="s">
        <v>396</v>
      </c>
      <c r="Q5" s="1" t="s">
        <v>26</v>
      </c>
      <c r="R5" s="1" t="s">
        <v>783</v>
      </c>
      <c r="S5" s="2">
        <v>1117.76</v>
      </c>
    </row>
    <row r="6" spans="1:19" x14ac:dyDescent="0.3">
      <c r="A6" s="1" t="s">
        <v>19</v>
      </c>
      <c r="B6" s="1" t="s">
        <v>769</v>
      </c>
      <c r="C6" s="1" t="s">
        <v>770</v>
      </c>
      <c r="D6" s="1" t="s">
        <v>1420</v>
      </c>
      <c r="E6" s="1" t="s">
        <v>1421</v>
      </c>
      <c r="F6" s="1" t="s">
        <v>61</v>
      </c>
      <c r="G6" s="1" t="s">
        <v>23</v>
      </c>
      <c r="H6">
        <v>4150408</v>
      </c>
      <c r="I6" s="1" t="s">
        <v>1422</v>
      </c>
      <c r="J6">
        <v>2840</v>
      </c>
      <c r="K6">
        <v>2840</v>
      </c>
      <c r="L6" s="1" t="s">
        <v>1415</v>
      </c>
      <c r="M6" s="1" t="s">
        <v>1423</v>
      </c>
      <c r="N6">
        <v>44.126100000000001</v>
      </c>
      <c r="O6">
        <v>-73.412800000000004</v>
      </c>
      <c r="P6" s="1" t="s">
        <v>396</v>
      </c>
      <c r="Q6" s="1" t="s">
        <v>26</v>
      </c>
      <c r="R6" s="1" t="s">
        <v>783</v>
      </c>
      <c r="S6" s="2">
        <v>1117.76</v>
      </c>
    </row>
    <row r="7" spans="1:19" x14ac:dyDescent="0.3">
      <c r="A7" s="1" t="s">
        <v>19</v>
      </c>
      <c r="B7" s="1" t="s">
        <v>769</v>
      </c>
      <c r="C7" s="1" t="s">
        <v>770</v>
      </c>
      <c r="D7" s="1" t="s">
        <v>1459</v>
      </c>
      <c r="E7" s="1" t="s">
        <v>1451</v>
      </c>
      <c r="F7" s="1" t="s">
        <v>61</v>
      </c>
      <c r="G7" s="1" t="s">
        <v>23</v>
      </c>
      <c r="H7">
        <v>4150408</v>
      </c>
      <c r="I7" s="1" t="s">
        <v>1460</v>
      </c>
      <c r="J7">
        <v>2785</v>
      </c>
      <c r="K7">
        <v>2785</v>
      </c>
      <c r="L7" s="1" t="s">
        <v>1415</v>
      </c>
      <c r="M7" s="1" t="s">
        <v>1416</v>
      </c>
      <c r="N7">
        <v>44.581899999999997</v>
      </c>
      <c r="O7">
        <v>-73.281099999999995</v>
      </c>
      <c r="P7" s="1" t="s">
        <v>396</v>
      </c>
      <c r="Q7" s="1" t="s">
        <v>26</v>
      </c>
      <c r="R7" s="1" t="s">
        <v>783</v>
      </c>
      <c r="S7" s="2">
        <v>1117.76</v>
      </c>
    </row>
    <row r="8" spans="1:19" x14ac:dyDescent="0.3">
      <c r="A8" s="1" t="s">
        <v>19</v>
      </c>
      <c r="B8" s="1" t="s">
        <v>769</v>
      </c>
      <c r="C8" s="1" t="s">
        <v>770</v>
      </c>
      <c r="D8" s="1" t="s">
        <v>1453</v>
      </c>
      <c r="E8" s="1" t="s">
        <v>1454</v>
      </c>
      <c r="F8" s="1" t="s">
        <v>61</v>
      </c>
      <c r="G8" s="1" t="s">
        <v>23</v>
      </c>
      <c r="H8">
        <v>4150408</v>
      </c>
      <c r="I8" s="1" t="s">
        <v>1455</v>
      </c>
      <c r="J8">
        <v>1878</v>
      </c>
      <c r="K8">
        <v>1878</v>
      </c>
      <c r="L8" s="1" t="s">
        <v>1415</v>
      </c>
      <c r="M8" s="1" t="s">
        <v>1416</v>
      </c>
      <c r="N8">
        <v>44.425800000000002</v>
      </c>
      <c r="O8">
        <v>-73.231899999999996</v>
      </c>
      <c r="P8" s="1" t="s">
        <v>396</v>
      </c>
      <c r="Q8" s="1" t="s">
        <v>26</v>
      </c>
      <c r="R8" s="1" t="s">
        <v>783</v>
      </c>
      <c r="S8" s="2">
        <v>1117.76</v>
      </c>
    </row>
    <row r="9" spans="1:19" x14ac:dyDescent="0.3">
      <c r="A9" s="1" t="s">
        <v>19</v>
      </c>
      <c r="B9" s="1" t="s">
        <v>769</v>
      </c>
      <c r="C9" s="1" t="s">
        <v>770</v>
      </c>
      <c r="D9" s="1" t="s">
        <v>1427</v>
      </c>
      <c r="E9" s="1" t="s">
        <v>1428</v>
      </c>
      <c r="F9" s="1" t="s">
        <v>61</v>
      </c>
      <c r="G9" s="1" t="s">
        <v>23</v>
      </c>
      <c r="H9">
        <v>4150408</v>
      </c>
      <c r="I9" s="1" t="s">
        <v>1429</v>
      </c>
      <c r="J9">
        <v>1611</v>
      </c>
      <c r="K9">
        <v>1611</v>
      </c>
      <c r="L9" s="1" t="s">
        <v>1415</v>
      </c>
      <c r="M9" s="1" t="s">
        <v>1416</v>
      </c>
      <c r="N9">
        <v>44.474699999999999</v>
      </c>
      <c r="O9">
        <v>-73.231700000000004</v>
      </c>
      <c r="P9" s="1" t="s">
        <v>396</v>
      </c>
      <c r="Q9" s="1" t="s">
        <v>26</v>
      </c>
      <c r="R9" s="1" t="s">
        <v>783</v>
      </c>
      <c r="S9" s="2">
        <v>1117.76</v>
      </c>
    </row>
    <row r="10" spans="1:19" x14ac:dyDescent="0.3">
      <c r="A10" s="1" t="s">
        <v>19</v>
      </c>
      <c r="B10" s="1" t="s">
        <v>769</v>
      </c>
      <c r="C10" s="1" t="s">
        <v>770</v>
      </c>
      <c r="D10" s="1" t="s">
        <v>796</v>
      </c>
      <c r="E10" s="1" t="s">
        <v>797</v>
      </c>
      <c r="F10" s="1" t="s">
        <v>61</v>
      </c>
      <c r="G10" s="1" t="s">
        <v>23</v>
      </c>
      <c r="H10">
        <v>4150408</v>
      </c>
      <c r="I10" s="1" t="s">
        <v>798</v>
      </c>
      <c r="J10">
        <v>1214</v>
      </c>
      <c r="K10">
        <v>1214</v>
      </c>
      <c r="L10" s="1" t="s">
        <v>776</v>
      </c>
      <c r="M10" s="1" t="s">
        <v>782</v>
      </c>
      <c r="N10">
        <v>43.951700000000002</v>
      </c>
      <c r="O10">
        <v>-73.407799999999995</v>
      </c>
      <c r="P10" s="1" t="s">
        <v>396</v>
      </c>
      <c r="Q10" s="1" t="s">
        <v>26</v>
      </c>
      <c r="R10" s="1" t="s">
        <v>783</v>
      </c>
      <c r="S10" s="2">
        <v>1117.76</v>
      </c>
    </row>
    <row r="11" spans="1:19" x14ac:dyDescent="0.3">
      <c r="A11" s="1" t="s">
        <v>19</v>
      </c>
      <c r="B11" s="1" t="s">
        <v>769</v>
      </c>
      <c r="C11" s="1" t="s">
        <v>770</v>
      </c>
      <c r="D11" s="1" t="s">
        <v>784</v>
      </c>
      <c r="E11" s="1" t="s">
        <v>780</v>
      </c>
      <c r="F11" s="1" t="s">
        <v>61</v>
      </c>
      <c r="G11" s="1" t="s">
        <v>23</v>
      </c>
      <c r="H11">
        <v>4150408</v>
      </c>
      <c r="I11" s="1" t="s">
        <v>785</v>
      </c>
      <c r="J11">
        <v>1015</v>
      </c>
      <c r="K11">
        <v>1015</v>
      </c>
      <c r="L11" s="1" t="s">
        <v>776</v>
      </c>
      <c r="M11" s="1" t="s">
        <v>786</v>
      </c>
      <c r="N11">
        <v>44.701099999999997</v>
      </c>
      <c r="O11">
        <v>-73.418099999999995</v>
      </c>
      <c r="P11" s="1" t="s">
        <v>396</v>
      </c>
      <c r="Q11" s="1" t="s">
        <v>26</v>
      </c>
      <c r="R11" s="1" t="s">
        <v>783</v>
      </c>
      <c r="S11" s="2">
        <v>1117.76</v>
      </c>
    </row>
    <row r="12" spans="1:19" x14ac:dyDescent="0.3">
      <c r="A12" s="1" t="s">
        <v>19</v>
      </c>
      <c r="B12" s="1" t="s">
        <v>1499</v>
      </c>
      <c r="C12" s="1" t="s">
        <v>1500</v>
      </c>
      <c r="D12" s="1" t="s">
        <v>1529</v>
      </c>
      <c r="E12" s="1" t="s">
        <v>1530</v>
      </c>
      <c r="F12" s="1" t="s">
        <v>480</v>
      </c>
      <c r="G12" s="1" t="s">
        <v>23</v>
      </c>
      <c r="H12">
        <v>4060200</v>
      </c>
      <c r="I12" s="1" t="s">
        <v>1531</v>
      </c>
      <c r="J12">
        <v>1004</v>
      </c>
      <c r="K12">
        <v>1004</v>
      </c>
      <c r="L12" s="1" t="s">
        <v>1479</v>
      </c>
      <c r="M12" s="1" t="s">
        <v>1507</v>
      </c>
      <c r="N12">
        <v>43.026166699999997</v>
      </c>
      <c r="O12">
        <v>-87.888833199999993</v>
      </c>
      <c r="P12" s="1" t="s">
        <v>25</v>
      </c>
      <c r="Q12" s="1" t="s">
        <v>26</v>
      </c>
      <c r="R12" s="1" t="s">
        <v>518</v>
      </c>
      <c r="S12" s="2">
        <v>52823.5</v>
      </c>
    </row>
    <row r="13" spans="1:19" x14ac:dyDescent="0.3">
      <c r="A13" s="1" t="s">
        <v>19</v>
      </c>
      <c r="B13" s="1" t="s">
        <v>769</v>
      </c>
      <c r="C13" s="1" t="s">
        <v>770</v>
      </c>
      <c r="D13" s="1" t="s">
        <v>801</v>
      </c>
      <c r="E13" s="1" t="s">
        <v>788</v>
      </c>
      <c r="F13" s="1" t="s">
        <v>61</v>
      </c>
      <c r="G13" s="1" t="s">
        <v>23</v>
      </c>
      <c r="H13">
        <v>4150408</v>
      </c>
      <c r="I13" s="1" t="s">
        <v>802</v>
      </c>
      <c r="J13">
        <v>982</v>
      </c>
      <c r="K13">
        <v>982</v>
      </c>
      <c r="L13" s="1" t="s">
        <v>776</v>
      </c>
      <c r="M13" s="1" t="s">
        <v>786</v>
      </c>
      <c r="N13">
        <v>44.948300000000003</v>
      </c>
      <c r="O13">
        <v>-73.34</v>
      </c>
      <c r="P13" s="1" t="s">
        <v>396</v>
      </c>
      <c r="Q13" s="1" t="s">
        <v>26</v>
      </c>
      <c r="R13" s="1" t="s">
        <v>783</v>
      </c>
      <c r="S13" s="2">
        <v>1117.76</v>
      </c>
    </row>
    <row r="14" spans="1:19" x14ac:dyDescent="0.3">
      <c r="A14" s="1" t="s">
        <v>19</v>
      </c>
      <c r="B14" s="1" t="s">
        <v>769</v>
      </c>
      <c r="C14" s="1" t="s">
        <v>770</v>
      </c>
      <c r="D14" s="1" t="s">
        <v>1456</v>
      </c>
      <c r="E14" s="1" t="s">
        <v>1457</v>
      </c>
      <c r="F14" s="1" t="s">
        <v>61</v>
      </c>
      <c r="G14" s="1" t="s">
        <v>23</v>
      </c>
      <c r="H14">
        <v>4150408</v>
      </c>
      <c r="I14" s="1" t="s">
        <v>1458</v>
      </c>
      <c r="J14">
        <v>936</v>
      </c>
      <c r="K14">
        <v>936</v>
      </c>
      <c r="L14" s="1" t="s">
        <v>1415</v>
      </c>
      <c r="M14" s="1" t="s">
        <v>1251</v>
      </c>
      <c r="N14">
        <v>45.013300000000001</v>
      </c>
      <c r="O14">
        <v>-73.173900000000003</v>
      </c>
      <c r="P14" s="1" t="s">
        <v>396</v>
      </c>
      <c r="Q14" s="1" t="s">
        <v>26</v>
      </c>
      <c r="R14" s="1" t="s">
        <v>783</v>
      </c>
      <c r="S14" s="2">
        <v>1117.76</v>
      </c>
    </row>
    <row r="15" spans="1:19" x14ac:dyDescent="0.3">
      <c r="A15" s="1" t="s">
        <v>19</v>
      </c>
      <c r="B15" s="1" t="s">
        <v>769</v>
      </c>
      <c r="C15" s="1" t="s">
        <v>770</v>
      </c>
      <c r="D15" s="1" t="s">
        <v>1447</v>
      </c>
      <c r="E15" s="1" t="s">
        <v>1448</v>
      </c>
      <c r="F15" s="1" t="s">
        <v>61</v>
      </c>
      <c r="G15" s="1" t="s">
        <v>23</v>
      </c>
      <c r="H15">
        <v>4150408</v>
      </c>
      <c r="I15" s="1" t="s">
        <v>1449</v>
      </c>
      <c r="J15">
        <v>896</v>
      </c>
      <c r="K15">
        <v>896</v>
      </c>
      <c r="L15" s="1" t="s">
        <v>1415</v>
      </c>
      <c r="M15" s="1" t="s">
        <v>1251</v>
      </c>
      <c r="N15">
        <v>44.785299999999999</v>
      </c>
      <c r="O15">
        <v>-73.162199999999999</v>
      </c>
      <c r="P15" s="1" t="s">
        <v>396</v>
      </c>
      <c r="Q15" s="1" t="s">
        <v>26</v>
      </c>
      <c r="R15" s="1" t="s">
        <v>783</v>
      </c>
      <c r="S15" s="2">
        <v>1117.76</v>
      </c>
    </row>
    <row r="16" spans="1:19" x14ac:dyDescent="0.3">
      <c r="A16" s="1" t="s">
        <v>19</v>
      </c>
      <c r="B16" s="1" t="s">
        <v>1499</v>
      </c>
      <c r="C16" s="1" t="s">
        <v>1500</v>
      </c>
      <c r="D16" s="1" t="s">
        <v>1523</v>
      </c>
      <c r="E16" s="1" t="s">
        <v>1524</v>
      </c>
      <c r="F16" s="1" t="s">
        <v>480</v>
      </c>
      <c r="G16" s="1" t="s">
        <v>23</v>
      </c>
      <c r="H16">
        <v>4040003</v>
      </c>
      <c r="I16" s="1" t="s">
        <v>1525</v>
      </c>
      <c r="J16">
        <v>879</v>
      </c>
      <c r="K16">
        <v>879</v>
      </c>
      <c r="L16" s="1" t="s">
        <v>1479</v>
      </c>
      <c r="M16" s="1" t="s">
        <v>1507</v>
      </c>
      <c r="N16">
        <v>43.025499600000003</v>
      </c>
      <c r="O16">
        <v>-87.895861199999999</v>
      </c>
      <c r="P16" s="1" t="s">
        <v>25</v>
      </c>
      <c r="Q16" s="1" t="s">
        <v>26</v>
      </c>
      <c r="R16" s="1" t="s">
        <v>518</v>
      </c>
      <c r="S16" s="2">
        <v>52823.5</v>
      </c>
    </row>
    <row r="17" spans="1:19" x14ac:dyDescent="0.3">
      <c r="A17" s="1" t="s">
        <v>19</v>
      </c>
      <c r="B17" s="1" t="s">
        <v>1499</v>
      </c>
      <c r="C17" s="1" t="s">
        <v>1500</v>
      </c>
      <c r="D17" s="1" t="s">
        <v>1538</v>
      </c>
      <c r="E17" s="1" t="s">
        <v>1539</v>
      </c>
      <c r="F17" s="1" t="s">
        <v>480</v>
      </c>
      <c r="G17" s="1" t="s">
        <v>23</v>
      </c>
      <c r="H17">
        <v>4060200</v>
      </c>
      <c r="I17" s="1" t="s">
        <v>1540</v>
      </c>
      <c r="J17">
        <v>879</v>
      </c>
      <c r="K17">
        <v>879</v>
      </c>
      <c r="L17" s="1" t="s">
        <v>1479</v>
      </c>
      <c r="M17" s="1" t="s">
        <v>1507</v>
      </c>
      <c r="N17">
        <v>43.0261937</v>
      </c>
      <c r="O17">
        <v>-87.882500199999996</v>
      </c>
      <c r="P17" s="1" t="s">
        <v>25</v>
      </c>
      <c r="Q17" s="1" t="s">
        <v>26</v>
      </c>
      <c r="R17" s="1" t="s">
        <v>518</v>
      </c>
      <c r="S17" s="2">
        <v>52823.5</v>
      </c>
    </row>
    <row r="18" spans="1:19" x14ac:dyDescent="0.3">
      <c r="A18" s="1" t="s">
        <v>19</v>
      </c>
      <c r="B18" s="1" t="s">
        <v>1499</v>
      </c>
      <c r="C18" s="1" t="s">
        <v>1500</v>
      </c>
      <c r="D18" s="1" t="s">
        <v>1556</v>
      </c>
      <c r="E18" s="1" t="s">
        <v>1557</v>
      </c>
      <c r="F18" s="1" t="s">
        <v>480</v>
      </c>
      <c r="G18" s="1" t="s">
        <v>23</v>
      </c>
      <c r="H18">
        <v>4060200</v>
      </c>
      <c r="I18" s="1" t="s">
        <v>1558</v>
      </c>
      <c r="J18">
        <v>869</v>
      </c>
      <c r="K18">
        <v>869</v>
      </c>
      <c r="L18" s="1" t="s">
        <v>1479</v>
      </c>
      <c r="M18" s="1" t="s">
        <v>1507</v>
      </c>
      <c r="N18">
        <v>43.027277699999999</v>
      </c>
      <c r="O18">
        <v>-87.863417200000001</v>
      </c>
      <c r="P18" s="1" t="s">
        <v>25</v>
      </c>
      <c r="Q18" s="1" t="s">
        <v>26</v>
      </c>
      <c r="R18" s="1" t="s">
        <v>518</v>
      </c>
      <c r="S18" s="2">
        <v>52823.5</v>
      </c>
    </row>
    <row r="19" spans="1:19" x14ac:dyDescent="0.3">
      <c r="A19" s="1" t="s">
        <v>62</v>
      </c>
      <c r="B19" s="1" t="s">
        <v>718</v>
      </c>
      <c r="C19" s="1" t="s">
        <v>719</v>
      </c>
      <c r="D19" s="1" t="s">
        <v>740</v>
      </c>
      <c r="E19" s="1" t="s">
        <v>741</v>
      </c>
      <c r="F19" s="1" t="s">
        <v>23</v>
      </c>
      <c r="G19" s="1" t="s">
        <v>23</v>
      </c>
      <c r="H19">
        <v>16050304</v>
      </c>
      <c r="I19" s="1" t="s">
        <v>742</v>
      </c>
      <c r="J19">
        <v>868</v>
      </c>
      <c r="K19">
        <v>933</v>
      </c>
      <c r="L19" s="1" t="s">
        <v>723</v>
      </c>
      <c r="M19" s="1" t="s">
        <v>738</v>
      </c>
      <c r="N19">
        <v>38.700000000000003</v>
      </c>
      <c r="O19">
        <v>-118.7218056</v>
      </c>
      <c r="P19" s="1" t="s">
        <v>25</v>
      </c>
      <c r="Q19" s="1" t="s">
        <v>26</v>
      </c>
      <c r="R19" s="1" t="s">
        <v>739</v>
      </c>
      <c r="S19" s="2">
        <v>142.54</v>
      </c>
    </row>
    <row r="20" spans="1:19" x14ac:dyDescent="0.3">
      <c r="A20" s="1" t="s">
        <v>62</v>
      </c>
      <c r="B20" s="1" t="s">
        <v>718</v>
      </c>
      <c r="C20" s="1" t="s">
        <v>719</v>
      </c>
      <c r="D20" s="1" t="s">
        <v>735</v>
      </c>
      <c r="E20" s="1" t="s">
        <v>736</v>
      </c>
      <c r="F20" s="1" t="s">
        <v>23</v>
      </c>
      <c r="G20" s="1" t="s">
        <v>23</v>
      </c>
      <c r="H20">
        <v>16050304</v>
      </c>
      <c r="I20" s="1" t="s">
        <v>737</v>
      </c>
      <c r="J20">
        <v>759</v>
      </c>
      <c r="K20">
        <v>823</v>
      </c>
      <c r="L20" s="1" t="s">
        <v>723</v>
      </c>
      <c r="M20" s="1" t="s">
        <v>738</v>
      </c>
      <c r="N20">
        <v>38.650833300000002</v>
      </c>
      <c r="O20">
        <v>-118.7146944</v>
      </c>
      <c r="P20" s="1" t="s">
        <v>25</v>
      </c>
      <c r="Q20" s="1" t="s">
        <v>26</v>
      </c>
      <c r="R20" s="1" t="s">
        <v>739</v>
      </c>
      <c r="S20" s="2">
        <v>142.54</v>
      </c>
    </row>
    <row r="21" spans="1:19" x14ac:dyDescent="0.3">
      <c r="A21" s="1" t="s">
        <v>19</v>
      </c>
      <c r="B21" s="1" t="s">
        <v>1499</v>
      </c>
      <c r="C21" s="1" t="s">
        <v>1500</v>
      </c>
      <c r="D21" s="1" t="s">
        <v>1547</v>
      </c>
      <c r="E21" s="1" t="s">
        <v>1548</v>
      </c>
      <c r="F21" s="1" t="s">
        <v>480</v>
      </c>
      <c r="G21" s="1" t="s">
        <v>23</v>
      </c>
      <c r="H21">
        <v>4060200</v>
      </c>
      <c r="I21" s="1" t="s">
        <v>1549</v>
      </c>
      <c r="J21">
        <v>720</v>
      </c>
      <c r="K21">
        <v>720</v>
      </c>
      <c r="L21" s="1" t="s">
        <v>1479</v>
      </c>
      <c r="M21" s="1" t="s">
        <v>1507</v>
      </c>
      <c r="N21">
        <v>43.014499700000002</v>
      </c>
      <c r="O21">
        <v>-87.887139199999993</v>
      </c>
      <c r="P21" s="1" t="s">
        <v>25</v>
      </c>
      <c r="Q21" s="1" t="s">
        <v>26</v>
      </c>
      <c r="R21" s="1" t="s">
        <v>518</v>
      </c>
      <c r="S21" s="2">
        <v>52823.5</v>
      </c>
    </row>
    <row r="22" spans="1:19" x14ac:dyDescent="0.3">
      <c r="A22" s="1" t="s">
        <v>62</v>
      </c>
      <c r="B22" s="1" t="s">
        <v>718</v>
      </c>
      <c r="C22" s="1" t="s">
        <v>719</v>
      </c>
      <c r="D22" s="1" t="s">
        <v>743</v>
      </c>
      <c r="E22" s="1" t="s">
        <v>744</v>
      </c>
      <c r="F22" s="1" t="s">
        <v>23</v>
      </c>
      <c r="G22" s="1" t="s">
        <v>23</v>
      </c>
      <c r="H22">
        <v>16050304</v>
      </c>
      <c r="I22" s="1" t="s">
        <v>745</v>
      </c>
      <c r="J22">
        <v>597</v>
      </c>
      <c r="K22">
        <v>640</v>
      </c>
      <c r="L22" s="1" t="s">
        <v>723</v>
      </c>
      <c r="M22" s="1" t="s">
        <v>738</v>
      </c>
      <c r="N22">
        <v>38.751694399999998</v>
      </c>
      <c r="O22">
        <v>-118.72499999999999</v>
      </c>
      <c r="P22" s="1" t="s">
        <v>25</v>
      </c>
      <c r="Q22" s="1" t="s">
        <v>26</v>
      </c>
      <c r="R22" s="1" t="s">
        <v>739</v>
      </c>
      <c r="S22" s="2">
        <v>142.54</v>
      </c>
    </row>
    <row r="23" spans="1:19" x14ac:dyDescent="0.3">
      <c r="A23" s="1" t="s">
        <v>19</v>
      </c>
      <c r="B23" s="1" t="s">
        <v>1499</v>
      </c>
      <c r="C23" s="1" t="s">
        <v>1500</v>
      </c>
      <c r="D23" s="1" t="s">
        <v>1526</v>
      </c>
      <c r="E23" s="1" t="s">
        <v>1527</v>
      </c>
      <c r="F23" s="1" t="s">
        <v>480</v>
      </c>
      <c r="G23" s="1" t="s">
        <v>23</v>
      </c>
      <c r="H23">
        <v>4060200</v>
      </c>
      <c r="I23" s="1" t="s">
        <v>1528</v>
      </c>
      <c r="J23">
        <v>593</v>
      </c>
      <c r="K23">
        <v>593</v>
      </c>
      <c r="L23" s="1" t="s">
        <v>1479</v>
      </c>
      <c r="M23" s="1" t="s">
        <v>1507</v>
      </c>
      <c r="N23">
        <v>43.023499700000002</v>
      </c>
      <c r="O23">
        <v>-87.894000199999994</v>
      </c>
      <c r="P23" s="1" t="s">
        <v>25</v>
      </c>
      <c r="Q23" s="1" t="s">
        <v>26</v>
      </c>
      <c r="R23" s="1" t="s">
        <v>518</v>
      </c>
      <c r="S23" s="2">
        <v>52823.5</v>
      </c>
    </row>
    <row r="24" spans="1:19" x14ac:dyDescent="0.3">
      <c r="A24" s="1" t="s">
        <v>19</v>
      </c>
      <c r="B24" s="1" t="s">
        <v>1499</v>
      </c>
      <c r="C24" s="1" t="s">
        <v>1500</v>
      </c>
      <c r="D24" s="1" t="s">
        <v>1541</v>
      </c>
      <c r="E24" s="1" t="s">
        <v>1542</v>
      </c>
      <c r="F24" s="1" t="s">
        <v>480</v>
      </c>
      <c r="G24" s="1" t="s">
        <v>23</v>
      </c>
      <c r="H24">
        <v>4060200</v>
      </c>
      <c r="I24" s="1" t="s">
        <v>1543</v>
      </c>
      <c r="J24">
        <v>591</v>
      </c>
      <c r="K24">
        <v>591</v>
      </c>
      <c r="L24" s="1" t="s">
        <v>1479</v>
      </c>
      <c r="M24" s="1" t="s">
        <v>1507</v>
      </c>
      <c r="N24">
        <v>43.008332699999997</v>
      </c>
      <c r="O24">
        <v>-87.877833199999998</v>
      </c>
      <c r="P24" s="1" t="s">
        <v>25</v>
      </c>
      <c r="Q24" s="1" t="s">
        <v>26</v>
      </c>
      <c r="R24" s="1" t="s">
        <v>518</v>
      </c>
      <c r="S24" s="2">
        <v>52823.5</v>
      </c>
    </row>
    <row r="25" spans="1:19" x14ac:dyDescent="0.3">
      <c r="A25" s="1" t="s">
        <v>19</v>
      </c>
      <c r="B25" s="1" t="s">
        <v>1499</v>
      </c>
      <c r="C25" s="1" t="s">
        <v>1500</v>
      </c>
      <c r="D25" s="1" t="s">
        <v>1535</v>
      </c>
      <c r="E25" s="1" t="s">
        <v>1536</v>
      </c>
      <c r="F25" s="1" t="s">
        <v>480</v>
      </c>
      <c r="G25" s="1" t="s">
        <v>23</v>
      </c>
      <c r="H25">
        <v>4060200</v>
      </c>
      <c r="I25" s="1" t="s">
        <v>1537</v>
      </c>
      <c r="J25">
        <v>590</v>
      </c>
      <c r="K25">
        <v>590</v>
      </c>
      <c r="L25" s="1" t="s">
        <v>1479</v>
      </c>
      <c r="M25" s="1" t="s">
        <v>1507</v>
      </c>
      <c r="N25">
        <v>43.044332599999997</v>
      </c>
      <c r="O25">
        <v>-87.8813332</v>
      </c>
      <c r="P25" s="1" t="s">
        <v>25</v>
      </c>
      <c r="Q25" s="1" t="s">
        <v>26</v>
      </c>
      <c r="R25" s="1" t="s">
        <v>518</v>
      </c>
      <c r="S25" s="2">
        <v>52823.5</v>
      </c>
    </row>
    <row r="26" spans="1:19" x14ac:dyDescent="0.3">
      <c r="A26" s="1" t="s">
        <v>19</v>
      </c>
      <c r="B26" s="1" t="s">
        <v>1499</v>
      </c>
      <c r="C26" s="1" t="s">
        <v>1500</v>
      </c>
      <c r="D26" s="1" t="s">
        <v>1544</v>
      </c>
      <c r="E26" s="1" t="s">
        <v>1545</v>
      </c>
      <c r="F26" s="1" t="s">
        <v>480</v>
      </c>
      <c r="G26" s="1" t="s">
        <v>23</v>
      </c>
      <c r="H26">
        <v>4060200</v>
      </c>
      <c r="I26" s="1" t="s">
        <v>1546</v>
      </c>
      <c r="J26">
        <v>590</v>
      </c>
      <c r="K26">
        <v>590</v>
      </c>
      <c r="L26" s="1" t="s">
        <v>1479</v>
      </c>
      <c r="M26" s="1" t="s">
        <v>1507</v>
      </c>
      <c r="N26">
        <v>43.002332699999997</v>
      </c>
      <c r="O26">
        <v>-87.885333200000005</v>
      </c>
      <c r="P26" s="1" t="s">
        <v>25</v>
      </c>
      <c r="Q26" s="1" t="s">
        <v>26</v>
      </c>
      <c r="R26" s="1" t="s">
        <v>518</v>
      </c>
      <c r="S26" s="2">
        <v>52823.5</v>
      </c>
    </row>
    <row r="27" spans="1:19" x14ac:dyDescent="0.3">
      <c r="A27" s="1" t="s">
        <v>19</v>
      </c>
      <c r="B27" s="1" t="s">
        <v>1499</v>
      </c>
      <c r="C27" s="1" t="s">
        <v>1500</v>
      </c>
      <c r="D27" s="1" t="s">
        <v>1550</v>
      </c>
      <c r="E27" s="1" t="s">
        <v>1551</v>
      </c>
      <c r="F27" s="1" t="s">
        <v>480</v>
      </c>
      <c r="G27" s="1" t="s">
        <v>23</v>
      </c>
      <c r="H27">
        <v>4060200</v>
      </c>
      <c r="I27" s="1" t="s">
        <v>1552</v>
      </c>
      <c r="J27">
        <v>579</v>
      </c>
      <c r="K27">
        <v>579</v>
      </c>
      <c r="L27" s="1" t="s">
        <v>1479</v>
      </c>
      <c r="M27" s="1" t="s">
        <v>1507</v>
      </c>
      <c r="N27">
        <v>43.044582699999999</v>
      </c>
      <c r="O27">
        <v>-87.867528199999995</v>
      </c>
      <c r="P27" s="1" t="s">
        <v>25</v>
      </c>
      <c r="Q27" s="1" t="s">
        <v>26</v>
      </c>
      <c r="R27" s="1" t="s">
        <v>518</v>
      </c>
      <c r="S27" s="2">
        <v>52823.5</v>
      </c>
    </row>
    <row r="28" spans="1:19" x14ac:dyDescent="0.3">
      <c r="A28" s="1" t="s">
        <v>19</v>
      </c>
      <c r="B28" s="1" t="s">
        <v>1499</v>
      </c>
      <c r="C28" s="1" t="s">
        <v>1500</v>
      </c>
      <c r="D28" s="1" t="s">
        <v>1553</v>
      </c>
      <c r="E28" s="1" t="s">
        <v>1554</v>
      </c>
      <c r="F28" s="1" t="s">
        <v>480</v>
      </c>
      <c r="G28" s="1" t="s">
        <v>23</v>
      </c>
      <c r="H28">
        <v>4060200</v>
      </c>
      <c r="I28" s="1" t="s">
        <v>1555</v>
      </c>
      <c r="J28">
        <v>579</v>
      </c>
      <c r="K28">
        <v>579</v>
      </c>
      <c r="L28" s="1" t="s">
        <v>1479</v>
      </c>
      <c r="M28" s="1" t="s">
        <v>1507</v>
      </c>
      <c r="N28">
        <v>43.009166700000002</v>
      </c>
      <c r="O28">
        <v>-87.864000200000007</v>
      </c>
      <c r="P28" s="1" t="s">
        <v>25</v>
      </c>
      <c r="Q28" s="1" t="s">
        <v>26</v>
      </c>
      <c r="R28" s="1" t="s">
        <v>518</v>
      </c>
      <c r="S28" s="2">
        <v>52823.5</v>
      </c>
    </row>
    <row r="29" spans="1:19" x14ac:dyDescent="0.3">
      <c r="A29" s="1" t="s">
        <v>19</v>
      </c>
      <c r="B29" s="1" t="s">
        <v>1499</v>
      </c>
      <c r="C29" s="1" t="s">
        <v>1500</v>
      </c>
      <c r="D29" s="1" t="s">
        <v>1568</v>
      </c>
      <c r="E29" s="1" t="s">
        <v>1569</v>
      </c>
      <c r="F29" s="1" t="s">
        <v>480</v>
      </c>
      <c r="G29" s="1" t="s">
        <v>23</v>
      </c>
      <c r="H29">
        <v>4060200</v>
      </c>
      <c r="I29" s="1" t="s">
        <v>1570</v>
      </c>
      <c r="J29">
        <v>576</v>
      </c>
      <c r="K29">
        <v>576</v>
      </c>
      <c r="L29" s="1" t="s">
        <v>1479</v>
      </c>
      <c r="M29" s="1" t="s">
        <v>1507</v>
      </c>
      <c r="N29">
        <v>42.891166699999999</v>
      </c>
      <c r="O29">
        <v>-87.837667400000001</v>
      </c>
      <c r="P29" s="1" t="s">
        <v>25</v>
      </c>
      <c r="Q29" s="1" t="s">
        <v>26</v>
      </c>
      <c r="R29" s="1" t="s">
        <v>518</v>
      </c>
      <c r="S29" s="2">
        <v>52823.5</v>
      </c>
    </row>
    <row r="30" spans="1:19" x14ac:dyDescent="0.3">
      <c r="A30" s="1" t="s">
        <v>19</v>
      </c>
      <c r="B30" s="1" t="s">
        <v>769</v>
      </c>
      <c r="C30" s="1" t="s">
        <v>770</v>
      </c>
      <c r="D30" s="1" t="s">
        <v>1450</v>
      </c>
      <c r="E30" s="1" t="s">
        <v>1451</v>
      </c>
      <c r="F30" s="1" t="s">
        <v>61</v>
      </c>
      <c r="G30" s="1" t="s">
        <v>23</v>
      </c>
      <c r="H30">
        <v>4150408</v>
      </c>
      <c r="I30" s="1" t="s">
        <v>1452</v>
      </c>
      <c r="J30">
        <v>573</v>
      </c>
      <c r="K30">
        <v>573</v>
      </c>
      <c r="L30" s="1" t="s">
        <v>1415</v>
      </c>
      <c r="M30" s="1" t="s">
        <v>1416</v>
      </c>
      <c r="N30">
        <v>44.564999999999998</v>
      </c>
      <c r="O30">
        <v>-73.208299999999994</v>
      </c>
      <c r="P30" s="1" t="s">
        <v>396</v>
      </c>
      <c r="Q30" s="1" t="s">
        <v>26</v>
      </c>
      <c r="R30" s="1" t="s">
        <v>783</v>
      </c>
      <c r="S30" s="2">
        <v>1117.76</v>
      </c>
    </row>
    <row r="31" spans="1:19" x14ac:dyDescent="0.3">
      <c r="A31" s="1" t="s">
        <v>19</v>
      </c>
      <c r="B31" s="1" t="s">
        <v>1499</v>
      </c>
      <c r="C31" s="1" t="s">
        <v>1500</v>
      </c>
      <c r="D31" s="1" t="s">
        <v>1532</v>
      </c>
      <c r="E31" s="1" t="s">
        <v>1533</v>
      </c>
      <c r="F31" s="1" t="s">
        <v>480</v>
      </c>
      <c r="G31" s="1" t="s">
        <v>23</v>
      </c>
      <c r="H31">
        <v>4060200</v>
      </c>
      <c r="I31" s="1" t="s">
        <v>1534</v>
      </c>
      <c r="J31">
        <v>480</v>
      </c>
      <c r="K31">
        <v>480</v>
      </c>
      <c r="L31" s="1" t="s">
        <v>1479</v>
      </c>
      <c r="M31" s="1" t="s">
        <v>1507</v>
      </c>
      <c r="N31">
        <v>43.037749599999998</v>
      </c>
      <c r="O31">
        <v>-87.889972200000003</v>
      </c>
      <c r="P31" s="1" t="s">
        <v>25</v>
      </c>
      <c r="Q31" s="1" t="s">
        <v>26</v>
      </c>
      <c r="R31" s="1" t="s">
        <v>518</v>
      </c>
      <c r="S31" s="2">
        <v>52823.5</v>
      </c>
    </row>
    <row r="32" spans="1:19" x14ac:dyDescent="0.3">
      <c r="A32" s="1" t="s">
        <v>19</v>
      </c>
      <c r="B32" s="1" t="s">
        <v>769</v>
      </c>
      <c r="C32" s="1" t="s">
        <v>770</v>
      </c>
      <c r="D32" s="1" t="s">
        <v>1439</v>
      </c>
      <c r="E32" s="1" t="s">
        <v>780</v>
      </c>
      <c r="F32" s="1" t="s">
        <v>61</v>
      </c>
      <c r="G32" s="1" t="s">
        <v>23</v>
      </c>
      <c r="H32">
        <v>4150408</v>
      </c>
      <c r="I32" s="1" t="s">
        <v>1440</v>
      </c>
      <c r="J32">
        <v>465</v>
      </c>
      <c r="K32">
        <v>465</v>
      </c>
      <c r="L32" s="1" t="s">
        <v>1415</v>
      </c>
      <c r="M32" s="1" t="s">
        <v>1416</v>
      </c>
      <c r="N32">
        <v>44.546100000000003</v>
      </c>
      <c r="O32">
        <v>-73.327500000000001</v>
      </c>
      <c r="P32" s="1" t="s">
        <v>396</v>
      </c>
      <c r="Q32" s="1" t="s">
        <v>26</v>
      </c>
      <c r="R32" s="1" t="s">
        <v>783</v>
      </c>
      <c r="S32" s="2">
        <v>1117.76</v>
      </c>
    </row>
    <row r="33" spans="1:19" x14ac:dyDescent="0.3">
      <c r="A33" s="1" t="s">
        <v>19</v>
      </c>
      <c r="B33" s="1" t="s">
        <v>476</v>
      </c>
      <c r="C33" s="1" t="s">
        <v>477</v>
      </c>
      <c r="D33" s="1" t="s">
        <v>556</v>
      </c>
      <c r="E33" s="1" t="s">
        <v>557</v>
      </c>
      <c r="F33" s="1" t="s">
        <v>480</v>
      </c>
      <c r="G33" s="1" t="s">
        <v>23</v>
      </c>
      <c r="H33">
        <v>4020300</v>
      </c>
      <c r="I33" s="1" t="s">
        <v>558</v>
      </c>
      <c r="J33">
        <v>431</v>
      </c>
      <c r="K33">
        <v>431</v>
      </c>
      <c r="L33" s="1" t="s">
        <v>402</v>
      </c>
      <c r="M33" s="1" t="s">
        <v>426</v>
      </c>
      <c r="N33">
        <v>47.604075999999999</v>
      </c>
      <c r="O33">
        <v>-86.818133099999997</v>
      </c>
      <c r="P33" s="1" t="s">
        <v>396</v>
      </c>
      <c r="Q33" s="1" t="s">
        <v>26</v>
      </c>
      <c r="R33" s="1" t="s">
        <v>545</v>
      </c>
      <c r="S33" s="2">
        <v>81837.100000000006</v>
      </c>
    </row>
    <row r="34" spans="1:19" x14ac:dyDescent="0.3">
      <c r="A34" s="1" t="s">
        <v>19</v>
      </c>
      <c r="B34" s="1" t="s">
        <v>1499</v>
      </c>
      <c r="C34" s="1" t="s">
        <v>1500</v>
      </c>
      <c r="D34" s="1" t="s">
        <v>1508</v>
      </c>
      <c r="E34" s="1" t="s">
        <v>1505</v>
      </c>
      <c r="F34" s="1" t="s">
        <v>480</v>
      </c>
      <c r="G34" s="1" t="s">
        <v>23</v>
      </c>
      <c r="H34">
        <v>4060200</v>
      </c>
      <c r="I34" s="1" t="s">
        <v>1509</v>
      </c>
      <c r="J34">
        <v>412</v>
      </c>
      <c r="K34">
        <v>412</v>
      </c>
      <c r="L34" s="1" t="s">
        <v>1479</v>
      </c>
      <c r="M34" s="1" t="s">
        <v>1507</v>
      </c>
      <c r="N34">
        <v>42.896666699999997</v>
      </c>
      <c r="O34">
        <v>-87.745000500000003</v>
      </c>
      <c r="P34" s="1" t="s">
        <v>25</v>
      </c>
      <c r="Q34" s="1" t="s">
        <v>26</v>
      </c>
      <c r="R34" s="1" t="s">
        <v>518</v>
      </c>
      <c r="S34" s="2">
        <v>52823.5</v>
      </c>
    </row>
    <row r="35" spans="1:19" x14ac:dyDescent="0.3">
      <c r="A35" s="1" t="s">
        <v>19</v>
      </c>
      <c r="B35" s="1" t="s">
        <v>476</v>
      </c>
      <c r="C35" s="1" t="s">
        <v>477</v>
      </c>
      <c r="D35" s="1" t="s">
        <v>503</v>
      </c>
      <c r="E35" s="1" t="s">
        <v>504</v>
      </c>
      <c r="F35" s="1" t="s">
        <v>480</v>
      </c>
      <c r="G35" s="1" t="s">
        <v>23</v>
      </c>
      <c r="H35">
        <v>4080300</v>
      </c>
      <c r="I35" s="1" t="s">
        <v>505</v>
      </c>
      <c r="J35">
        <v>412</v>
      </c>
      <c r="K35">
        <v>412</v>
      </c>
      <c r="L35" s="1" t="s">
        <v>402</v>
      </c>
      <c r="M35" s="1" t="s">
        <v>502</v>
      </c>
      <c r="N35">
        <v>45.516705799999997</v>
      </c>
      <c r="O35">
        <v>-83.416730599999994</v>
      </c>
      <c r="P35" s="1" t="s">
        <v>396</v>
      </c>
      <c r="Q35" s="1" t="s">
        <v>26</v>
      </c>
      <c r="R35" s="1" t="s">
        <v>483</v>
      </c>
      <c r="S35" s="2">
        <v>42496.7</v>
      </c>
    </row>
    <row r="36" spans="1:19" x14ac:dyDescent="0.3">
      <c r="A36" s="1" t="s">
        <v>19</v>
      </c>
      <c r="B36" s="1" t="s">
        <v>476</v>
      </c>
      <c r="C36" s="1" t="s">
        <v>477</v>
      </c>
      <c r="D36" s="1" t="s">
        <v>576</v>
      </c>
      <c r="E36" s="1" t="s">
        <v>577</v>
      </c>
      <c r="F36" s="1" t="s">
        <v>480</v>
      </c>
      <c r="G36" s="1" t="s">
        <v>23</v>
      </c>
      <c r="H36">
        <v>4060200</v>
      </c>
      <c r="I36" s="1" t="s">
        <v>578</v>
      </c>
      <c r="J36">
        <v>405</v>
      </c>
      <c r="K36">
        <v>405</v>
      </c>
      <c r="L36" s="1" t="s">
        <v>402</v>
      </c>
      <c r="M36" s="1" t="s">
        <v>575</v>
      </c>
      <c r="N36">
        <v>47.169332300000001</v>
      </c>
      <c r="O36">
        <v>-89.658416900000006</v>
      </c>
      <c r="P36" s="1" t="s">
        <v>396</v>
      </c>
      <c r="Q36" s="1" t="s">
        <v>26</v>
      </c>
      <c r="R36" s="1" t="s">
        <v>545</v>
      </c>
      <c r="S36" s="2">
        <v>81837.100000000006</v>
      </c>
    </row>
    <row r="37" spans="1:19" x14ac:dyDescent="0.3">
      <c r="A37" s="1" t="s">
        <v>19</v>
      </c>
      <c r="B37" s="1" t="s">
        <v>476</v>
      </c>
      <c r="C37" s="1" t="s">
        <v>477</v>
      </c>
      <c r="D37" s="1" t="s">
        <v>484</v>
      </c>
      <c r="E37" s="1" t="s">
        <v>485</v>
      </c>
      <c r="F37" s="1" t="s">
        <v>480</v>
      </c>
      <c r="G37" s="1" t="s">
        <v>23</v>
      </c>
      <c r="H37">
        <v>4080300</v>
      </c>
      <c r="I37" s="1" t="s">
        <v>486</v>
      </c>
      <c r="J37">
        <v>381</v>
      </c>
      <c r="K37">
        <v>381</v>
      </c>
      <c r="L37" s="1" t="s">
        <v>402</v>
      </c>
      <c r="M37" s="1" t="s">
        <v>417</v>
      </c>
      <c r="N37">
        <v>44.0000255</v>
      </c>
      <c r="O37">
        <v>-82.349900099999999</v>
      </c>
      <c r="P37" s="1" t="s">
        <v>396</v>
      </c>
      <c r="Q37" s="1" t="s">
        <v>26</v>
      </c>
      <c r="R37" s="1" t="s">
        <v>483</v>
      </c>
      <c r="S37" s="2">
        <v>42496.7</v>
      </c>
    </row>
    <row r="38" spans="1:19" x14ac:dyDescent="0.3">
      <c r="A38" s="1" t="s">
        <v>19</v>
      </c>
      <c r="B38" s="1" t="s">
        <v>476</v>
      </c>
      <c r="C38" s="1" t="s">
        <v>477</v>
      </c>
      <c r="D38" s="1" t="s">
        <v>496</v>
      </c>
      <c r="E38" s="1" t="s">
        <v>497</v>
      </c>
      <c r="F38" s="1" t="s">
        <v>480</v>
      </c>
      <c r="G38" s="1" t="s">
        <v>23</v>
      </c>
      <c r="H38">
        <v>4080300</v>
      </c>
      <c r="I38" s="1" t="s">
        <v>498</v>
      </c>
      <c r="J38">
        <v>378</v>
      </c>
      <c r="K38">
        <v>378</v>
      </c>
      <c r="L38" s="1" t="s">
        <v>402</v>
      </c>
      <c r="M38" s="1" t="s">
        <v>428</v>
      </c>
      <c r="N38">
        <v>45.136654999999998</v>
      </c>
      <c r="O38">
        <v>-82.983256600000004</v>
      </c>
      <c r="P38" s="1" t="s">
        <v>396</v>
      </c>
      <c r="Q38" s="1" t="s">
        <v>26</v>
      </c>
      <c r="R38" s="1" t="s">
        <v>483</v>
      </c>
      <c r="S38" s="2">
        <v>42496.7</v>
      </c>
    </row>
    <row r="39" spans="1:19" x14ac:dyDescent="0.3">
      <c r="A39" s="1" t="s">
        <v>19</v>
      </c>
      <c r="B39" s="1" t="s">
        <v>769</v>
      </c>
      <c r="C39" s="1" t="s">
        <v>770</v>
      </c>
      <c r="D39" s="1" t="s">
        <v>1471</v>
      </c>
      <c r="E39" s="1" t="s">
        <v>1457</v>
      </c>
      <c r="F39" s="1" t="s">
        <v>61</v>
      </c>
      <c r="G39" s="1" t="s">
        <v>23</v>
      </c>
      <c r="H39">
        <v>4150408</v>
      </c>
      <c r="I39" s="1" t="s">
        <v>1472</v>
      </c>
      <c r="J39">
        <v>370</v>
      </c>
      <c r="K39">
        <v>370</v>
      </c>
      <c r="L39" s="1" t="s">
        <v>1415</v>
      </c>
      <c r="M39" s="1" t="s">
        <v>1251</v>
      </c>
      <c r="N39">
        <v>44.9758</v>
      </c>
      <c r="O39">
        <v>-73.215000000000003</v>
      </c>
      <c r="P39" s="1" t="s">
        <v>396</v>
      </c>
      <c r="Q39" s="1" t="s">
        <v>26</v>
      </c>
      <c r="R39" s="1" t="s">
        <v>783</v>
      </c>
      <c r="S39" s="2">
        <v>1117.76</v>
      </c>
    </row>
    <row r="40" spans="1:19" x14ac:dyDescent="0.3">
      <c r="A40" s="1" t="s">
        <v>19</v>
      </c>
      <c r="B40" s="1" t="s">
        <v>476</v>
      </c>
      <c r="C40" s="1" t="s">
        <v>477</v>
      </c>
      <c r="D40" s="1" t="s">
        <v>541</v>
      </c>
      <c r="E40" s="1" t="s">
        <v>542</v>
      </c>
      <c r="F40" s="1" t="s">
        <v>480</v>
      </c>
      <c r="G40" s="1" t="s">
        <v>23</v>
      </c>
      <c r="H40">
        <v>4020300</v>
      </c>
      <c r="I40" s="1" t="s">
        <v>543</v>
      </c>
      <c r="J40">
        <v>357</v>
      </c>
      <c r="K40">
        <v>357</v>
      </c>
      <c r="L40" s="1" t="s">
        <v>402</v>
      </c>
      <c r="M40" s="1" t="s">
        <v>544</v>
      </c>
      <c r="N40">
        <v>46.9929937</v>
      </c>
      <c r="O40">
        <v>-85.161661800000005</v>
      </c>
      <c r="P40" s="1" t="s">
        <v>396</v>
      </c>
      <c r="Q40" s="1" t="s">
        <v>26</v>
      </c>
      <c r="R40" s="1" t="s">
        <v>545</v>
      </c>
      <c r="S40" s="2">
        <v>81837.100000000006</v>
      </c>
    </row>
    <row r="41" spans="1:19" x14ac:dyDescent="0.3">
      <c r="A41" s="1" t="s">
        <v>19</v>
      </c>
      <c r="B41" s="1" t="s">
        <v>1499</v>
      </c>
      <c r="C41" s="1" t="s">
        <v>1500</v>
      </c>
      <c r="D41" s="1" t="s">
        <v>1582</v>
      </c>
      <c r="E41" s="1" t="s">
        <v>1572</v>
      </c>
      <c r="F41" s="1" t="s">
        <v>480</v>
      </c>
      <c r="G41" s="1" t="s">
        <v>23</v>
      </c>
      <c r="H41">
        <v>4060200</v>
      </c>
      <c r="I41" s="1" t="s">
        <v>1583</v>
      </c>
      <c r="J41">
        <v>353</v>
      </c>
      <c r="K41">
        <v>353</v>
      </c>
      <c r="L41" s="1" t="s">
        <v>1479</v>
      </c>
      <c r="M41" s="1" t="s">
        <v>1507</v>
      </c>
      <c r="N41">
        <v>42.888499699999997</v>
      </c>
      <c r="O41">
        <v>-87.837667400000001</v>
      </c>
      <c r="P41" s="1" t="s">
        <v>25</v>
      </c>
      <c r="Q41" s="1" t="s">
        <v>26</v>
      </c>
      <c r="R41" s="1" t="s">
        <v>518</v>
      </c>
      <c r="S41" s="2">
        <v>52823.5</v>
      </c>
    </row>
    <row r="42" spans="1:19" x14ac:dyDescent="0.3">
      <c r="A42" s="1" t="s">
        <v>19</v>
      </c>
      <c r="B42" s="1" t="s">
        <v>769</v>
      </c>
      <c r="C42" s="1" t="s">
        <v>770</v>
      </c>
      <c r="D42" s="1" t="s">
        <v>1433</v>
      </c>
      <c r="E42" s="1" t="s">
        <v>1425</v>
      </c>
      <c r="F42" s="1" t="s">
        <v>61</v>
      </c>
      <c r="G42" s="1" t="s">
        <v>23</v>
      </c>
      <c r="H42">
        <v>4150408</v>
      </c>
      <c r="I42" s="1" t="s">
        <v>1434</v>
      </c>
      <c r="J42">
        <v>344</v>
      </c>
      <c r="K42">
        <v>344</v>
      </c>
      <c r="L42" s="1" t="s">
        <v>1415</v>
      </c>
      <c r="M42" s="1" t="s">
        <v>1416</v>
      </c>
      <c r="N42">
        <v>44.262999999999998</v>
      </c>
      <c r="O42">
        <v>-73.287000000000006</v>
      </c>
      <c r="P42" s="1" t="s">
        <v>396</v>
      </c>
      <c r="Q42" s="1" t="s">
        <v>26</v>
      </c>
      <c r="R42" s="1" t="s">
        <v>783</v>
      </c>
      <c r="S42" s="2">
        <v>1117.76</v>
      </c>
    </row>
    <row r="43" spans="1:19" x14ac:dyDescent="0.3">
      <c r="A43" s="1" t="s">
        <v>62</v>
      </c>
      <c r="B43" s="1" t="s">
        <v>942</v>
      </c>
      <c r="C43" s="1" t="s">
        <v>943</v>
      </c>
      <c r="D43" s="1" t="s">
        <v>971</v>
      </c>
      <c r="E43" s="1" t="s">
        <v>972</v>
      </c>
      <c r="F43" s="1" t="s">
        <v>23</v>
      </c>
      <c r="G43" s="1" t="s">
        <v>23</v>
      </c>
      <c r="H43">
        <v>18010203</v>
      </c>
      <c r="I43" s="1" t="s">
        <v>973</v>
      </c>
      <c r="J43">
        <v>343</v>
      </c>
      <c r="K43">
        <v>343</v>
      </c>
      <c r="L43" s="1" t="s">
        <v>947</v>
      </c>
      <c r="M43" s="1" t="s">
        <v>948</v>
      </c>
      <c r="N43">
        <v>42.439164900000002</v>
      </c>
      <c r="O43">
        <v>-122.01223880000001</v>
      </c>
      <c r="P43" s="1" t="s">
        <v>25</v>
      </c>
      <c r="Q43" s="1" t="s">
        <v>26</v>
      </c>
      <c r="R43" s="1" t="s">
        <v>949</v>
      </c>
      <c r="S43" s="2">
        <v>228.505</v>
      </c>
    </row>
    <row r="44" spans="1:19" x14ac:dyDescent="0.3">
      <c r="A44" s="1" t="s">
        <v>62</v>
      </c>
      <c r="B44" s="1" t="s">
        <v>718</v>
      </c>
      <c r="C44" s="1" t="s">
        <v>719</v>
      </c>
      <c r="D44" s="1" t="s">
        <v>746</v>
      </c>
      <c r="E44" s="1" t="s">
        <v>747</v>
      </c>
      <c r="F44" s="1" t="s">
        <v>23</v>
      </c>
      <c r="G44" s="1" t="s">
        <v>23</v>
      </c>
      <c r="H44">
        <v>16050304</v>
      </c>
      <c r="I44" s="1" t="s">
        <v>748</v>
      </c>
      <c r="J44">
        <v>339</v>
      </c>
      <c r="K44">
        <v>348</v>
      </c>
      <c r="L44" s="1" t="s">
        <v>723</v>
      </c>
      <c r="M44" s="1" t="s">
        <v>738</v>
      </c>
      <c r="N44">
        <v>38.761188900000001</v>
      </c>
      <c r="O44">
        <v>-118.72505</v>
      </c>
      <c r="P44" s="1" t="s">
        <v>25</v>
      </c>
      <c r="Q44" s="1" t="s">
        <v>26</v>
      </c>
      <c r="R44" s="1" t="s">
        <v>739</v>
      </c>
      <c r="S44" s="2">
        <v>142.54</v>
      </c>
    </row>
    <row r="45" spans="1:19" x14ac:dyDescent="0.3">
      <c r="A45" s="1" t="s">
        <v>19</v>
      </c>
      <c r="B45" s="1" t="s">
        <v>476</v>
      </c>
      <c r="C45" s="1" t="s">
        <v>477</v>
      </c>
      <c r="D45" s="1" t="s">
        <v>535</v>
      </c>
      <c r="E45" s="1" t="s">
        <v>536</v>
      </c>
      <c r="F45" s="1" t="s">
        <v>480</v>
      </c>
      <c r="G45" s="1" t="s">
        <v>23</v>
      </c>
      <c r="H45">
        <v>4060200</v>
      </c>
      <c r="I45" s="1" t="s">
        <v>537</v>
      </c>
      <c r="J45">
        <v>326</v>
      </c>
      <c r="K45">
        <v>326</v>
      </c>
      <c r="L45" s="1" t="s">
        <v>402</v>
      </c>
      <c r="M45" s="1" t="s">
        <v>429</v>
      </c>
      <c r="N45">
        <v>44.736680499999999</v>
      </c>
      <c r="O45">
        <v>-86.721841100000006</v>
      </c>
      <c r="P45" s="1" t="s">
        <v>25</v>
      </c>
      <c r="Q45" s="1" t="s">
        <v>26</v>
      </c>
      <c r="R45" s="1" t="s">
        <v>518</v>
      </c>
      <c r="S45" s="2">
        <v>52823.5</v>
      </c>
    </row>
    <row r="46" spans="1:19" x14ac:dyDescent="0.3">
      <c r="A46" s="1" t="s">
        <v>62</v>
      </c>
      <c r="B46" s="1" t="s">
        <v>942</v>
      </c>
      <c r="C46" s="1" t="s">
        <v>943</v>
      </c>
      <c r="D46" s="1" t="s">
        <v>959</v>
      </c>
      <c r="E46" s="1" t="s">
        <v>960</v>
      </c>
      <c r="F46" s="1" t="s">
        <v>23</v>
      </c>
      <c r="G46" s="1" t="s">
        <v>23</v>
      </c>
      <c r="H46">
        <v>18010203</v>
      </c>
      <c r="I46" s="1" t="s">
        <v>961</v>
      </c>
      <c r="J46">
        <v>325</v>
      </c>
      <c r="K46">
        <v>325</v>
      </c>
      <c r="L46" s="1" t="s">
        <v>947</v>
      </c>
      <c r="M46" s="1" t="s">
        <v>948</v>
      </c>
      <c r="N46">
        <v>42.384689199999997</v>
      </c>
      <c r="O46">
        <v>-121.9286044</v>
      </c>
      <c r="P46" s="1" t="s">
        <v>25</v>
      </c>
      <c r="Q46" s="1" t="s">
        <v>26</v>
      </c>
      <c r="R46" s="1" t="s">
        <v>949</v>
      </c>
      <c r="S46" s="2">
        <v>228.505</v>
      </c>
    </row>
    <row r="47" spans="1:19" x14ac:dyDescent="0.3">
      <c r="A47" s="1" t="s">
        <v>19</v>
      </c>
      <c r="B47" s="1" t="s">
        <v>289</v>
      </c>
      <c r="C47" s="1" t="s">
        <v>290</v>
      </c>
      <c r="D47" s="1" t="s">
        <v>291</v>
      </c>
      <c r="E47" s="1" t="s">
        <v>292</v>
      </c>
      <c r="F47" s="1" t="s">
        <v>61</v>
      </c>
      <c r="G47" s="1" t="s">
        <v>23</v>
      </c>
      <c r="H47">
        <v>3080102</v>
      </c>
      <c r="I47" s="1" t="s">
        <v>293</v>
      </c>
      <c r="J47">
        <v>324</v>
      </c>
      <c r="K47">
        <v>648</v>
      </c>
      <c r="L47" s="1" t="s">
        <v>127</v>
      </c>
      <c r="M47" s="1" t="s">
        <v>166</v>
      </c>
      <c r="N47">
        <v>28.624972199999998</v>
      </c>
      <c r="O47">
        <v>-81.6249167</v>
      </c>
      <c r="P47" s="1" t="s">
        <v>25</v>
      </c>
      <c r="Q47" s="1" t="s">
        <v>26</v>
      </c>
      <c r="R47" s="1" t="s">
        <v>294</v>
      </c>
      <c r="S47" s="2">
        <v>124.66200000000001</v>
      </c>
    </row>
    <row r="48" spans="1:19" x14ac:dyDescent="0.3">
      <c r="A48" s="1" t="s">
        <v>19</v>
      </c>
      <c r="B48" s="1" t="s">
        <v>476</v>
      </c>
      <c r="C48" s="1" t="s">
        <v>477</v>
      </c>
      <c r="D48" s="1" t="s">
        <v>519</v>
      </c>
      <c r="E48" s="1" t="s">
        <v>520</v>
      </c>
      <c r="F48" s="1" t="s">
        <v>480</v>
      </c>
      <c r="G48" s="1" t="s">
        <v>23</v>
      </c>
      <c r="H48">
        <v>4060200</v>
      </c>
      <c r="I48" s="1" t="s">
        <v>521</v>
      </c>
      <c r="J48">
        <v>308</v>
      </c>
      <c r="K48">
        <v>308</v>
      </c>
      <c r="L48" s="1" t="s">
        <v>402</v>
      </c>
      <c r="M48" s="1" t="s">
        <v>427</v>
      </c>
      <c r="N48">
        <v>42.7333456</v>
      </c>
      <c r="O48">
        <v>-87.000102799999993</v>
      </c>
      <c r="P48" s="1" t="s">
        <v>25</v>
      </c>
      <c r="Q48" s="1" t="s">
        <v>26</v>
      </c>
      <c r="R48" s="1" t="s">
        <v>518</v>
      </c>
      <c r="S48" s="2">
        <v>52823.5</v>
      </c>
    </row>
    <row r="49" spans="1:19" x14ac:dyDescent="0.3">
      <c r="A49" s="1" t="s">
        <v>62</v>
      </c>
      <c r="B49" s="1" t="s">
        <v>942</v>
      </c>
      <c r="C49" s="1" t="s">
        <v>943</v>
      </c>
      <c r="D49" s="1" t="s">
        <v>974</v>
      </c>
      <c r="E49" s="1" t="s">
        <v>975</v>
      </c>
      <c r="F49" s="1" t="s">
        <v>23</v>
      </c>
      <c r="G49" s="1" t="s">
        <v>23</v>
      </c>
      <c r="H49">
        <v>18010203</v>
      </c>
      <c r="I49" s="1" t="s">
        <v>976</v>
      </c>
      <c r="J49">
        <v>307</v>
      </c>
      <c r="K49">
        <v>307</v>
      </c>
      <c r="L49" s="1" t="s">
        <v>947</v>
      </c>
      <c r="M49" s="1" t="s">
        <v>948</v>
      </c>
      <c r="N49">
        <v>42.455248400000002</v>
      </c>
      <c r="O49">
        <v>-121.95490390000001</v>
      </c>
      <c r="P49" s="1" t="s">
        <v>25</v>
      </c>
      <c r="Q49" s="1" t="s">
        <v>26</v>
      </c>
      <c r="R49" s="1" t="s">
        <v>949</v>
      </c>
      <c r="S49" s="2">
        <v>228.505</v>
      </c>
    </row>
    <row r="50" spans="1:19" x14ac:dyDescent="0.3">
      <c r="A50" s="1" t="s">
        <v>19</v>
      </c>
      <c r="B50" s="1" t="s">
        <v>769</v>
      </c>
      <c r="C50" s="1" t="s">
        <v>770</v>
      </c>
      <c r="D50" s="1" t="s">
        <v>803</v>
      </c>
      <c r="E50" s="1" t="s">
        <v>780</v>
      </c>
      <c r="F50" s="1" t="s">
        <v>61</v>
      </c>
      <c r="G50" s="1" t="s">
        <v>23</v>
      </c>
      <c r="H50">
        <v>4150408</v>
      </c>
      <c r="I50" s="1" t="s">
        <v>804</v>
      </c>
      <c r="J50">
        <v>297</v>
      </c>
      <c r="K50">
        <v>297</v>
      </c>
      <c r="L50" s="1" t="s">
        <v>776</v>
      </c>
      <c r="M50" s="1" t="s">
        <v>782</v>
      </c>
      <c r="N50">
        <v>44.268300000000004</v>
      </c>
      <c r="O50">
        <v>-73.312200000000004</v>
      </c>
      <c r="P50" s="1" t="s">
        <v>396</v>
      </c>
      <c r="Q50" s="1" t="s">
        <v>26</v>
      </c>
      <c r="R50" s="1" t="s">
        <v>783</v>
      </c>
      <c r="S50" s="2">
        <v>1117.76</v>
      </c>
    </row>
    <row r="51" spans="1:19" x14ac:dyDescent="0.3">
      <c r="A51" s="1" t="s">
        <v>19</v>
      </c>
      <c r="B51" s="1" t="s">
        <v>1499</v>
      </c>
      <c r="C51" s="1" t="s">
        <v>1500</v>
      </c>
      <c r="D51" s="1" t="s">
        <v>1590</v>
      </c>
      <c r="E51" s="1" t="s">
        <v>1572</v>
      </c>
      <c r="F51" s="1" t="s">
        <v>480</v>
      </c>
      <c r="G51" s="1" t="s">
        <v>23</v>
      </c>
      <c r="H51">
        <v>4060200</v>
      </c>
      <c r="I51" s="1" t="s">
        <v>1591</v>
      </c>
      <c r="J51">
        <v>292</v>
      </c>
      <c r="K51">
        <v>292</v>
      </c>
      <c r="L51" s="1" t="s">
        <v>1479</v>
      </c>
      <c r="M51" s="1" t="s">
        <v>1507</v>
      </c>
      <c r="N51">
        <v>42.891166699999999</v>
      </c>
      <c r="O51">
        <v>-87.826667400000005</v>
      </c>
      <c r="P51" s="1" t="s">
        <v>25</v>
      </c>
      <c r="Q51" s="1" t="s">
        <v>26</v>
      </c>
      <c r="R51" s="1" t="s">
        <v>518</v>
      </c>
      <c r="S51" s="2">
        <v>52823.5</v>
      </c>
    </row>
    <row r="52" spans="1:19" x14ac:dyDescent="0.3">
      <c r="A52" s="1" t="s">
        <v>19</v>
      </c>
      <c r="B52" s="1" t="s">
        <v>1499</v>
      </c>
      <c r="C52" s="1" t="s">
        <v>1500</v>
      </c>
      <c r="D52" s="1" t="s">
        <v>1501</v>
      </c>
      <c r="E52" s="1" t="s">
        <v>1502</v>
      </c>
      <c r="F52" s="1" t="s">
        <v>480</v>
      </c>
      <c r="G52" s="1" t="s">
        <v>23</v>
      </c>
      <c r="H52">
        <v>4060200</v>
      </c>
      <c r="I52" s="1" t="s">
        <v>1503</v>
      </c>
      <c r="J52">
        <v>288</v>
      </c>
      <c r="K52">
        <v>288</v>
      </c>
      <c r="L52" s="1" t="s">
        <v>1479</v>
      </c>
      <c r="M52" s="1" t="s">
        <v>1483</v>
      </c>
      <c r="N52">
        <v>42.776666800000001</v>
      </c>
      <c r="O52">
        <v>-87.701667700000002</v>
      </c>
      <c r="P52" s="1" t="s">
        <v>25</v>
      </c>
      <c r="Q52" s="1" t="s">
        <v>26</v>
      </c>
      <c r="R52" s="1" t="s">
        <v>518</v>
      </c>
      <c r="S52" s="2">
        <v>52823.5</v>
      </c>
    </row>
    <row r="53" spans="1:19" x14ac:dyDescent="0.3">
      <c r="A53" s="1" t="s">
        <v>19</v>
      </c>
      <c r="B53" s="1" t="s">
        <v>1499</v>
      </c>
      <c r="C53" s="1" t="s">
        <v>1500</v>
      </c>
      <c r="D53" s="1" t="s">
        <v>1504</v>
      </c>
      <c r="E53" s="1" t="s">
        <v>1505</v>
      </c>
      <c r="F53" s="1" t="s">
        <v>480</v>
      </c>
      <c r="G53" s="1" t="s">
        <v>23</v>
      </c>
      <c r="H53">
        <v>4060200</v>
      </c>
      <c r="I53" s="1" t="s">
        <v>1506</v>
      </c>
      <c r="J53">
        <v>288</v>
      </c>
      <c r="K53">
        <v>288</v>
      </c>
      <c r="L53" s="1" t="s">
        <v>1479</v>
      </c>
      <c r="M53" s="1" t="s">
        <v>1507</v>
      </c>
      <c r="N53">
        <v>42.896666699999997</v>
      </c>
      <c r="O53">
        <v>-87.805000399999997</v>
      </c>
      <c r="P53" s="1" t="s">
        <v>25</v>
      </c>
      <c r="Q53" s="1" t="s">
        <v>26</v>
      </c>
      <c r="R53" s="1" t="s">
        <v>518</v>
      </c>
      <c r="S53" s="2">
        <v>52823.5</v>
      </c>
    </row>
    <row r="54" spans="1:19" x14ac:dyDescent="0.3">
      <c r="A54" s="1" t="s">
        <v>19</v>
      </c>
      <c r="B54" s="1" t="s">
        <v>1499</v>
      </c>
      <c r="C54" s="1" t="s">
        <v>1500</v>
      </c>
      <c r="D54" s="1" t="s">
        <v>1510</v>
      </c>
      <c r="E54" s="1" t="s">
        <v>1511</v>
      </c>
      <c r="F54" s="1" t="s">
        <v>480</v>
      </c>
      <c r="G54" s="1" t="s">
        <v>23</v>
      </c>
      <c r="H54">
        <v>4060200</v>
      </c>
      <c r="I54" s="1" t="s">
        <v>1512</v>
      </c>
      <c r="J54">
        <v>288</v>
      </c>
      <c r="K54">
        <v>288</v>
      </c>
      <c r="L54" s="1" t="s">
        <v>1479</v>
      </c>
      <c r="M54" s="1" t="s">
        <v>1507</v>
      </c>
      <c r="N54">
        <v>42.966666699999998</v>
      </c>
      <c r="O54">
        <v>-87.841667299999997</v>
      </c>
      <c r="P54" s="1" t="s">
        <v>25</v>
      </c>
      <c r="Q54" s="1" t="s">
        <v>26</v>
      </c>
      <c r="R54" s="1" t="s">
        <v>518</v>
      </c>
      <c r="S54" s="2">
        <v>52823.5</v>
      </c>
    </row>
    <row r="55" spans="1:19" x14ac:dyDescent="0.3">
      <c r="A55" s="1" t="s">
        <v>19</v>
      </c>
      <c r="B55" s="1" t="s">
        <v>1499</v>
      </c>
      <c r="C55" s="1" t="s">
        <v>1500</v>
      </c>
      <c r="D55" s="1" t="s">
        <v>1513</v>
      </c>
      <c r="E55" s="1" t="s">
        <v>1511</v>
      </c>
      <c r="F55" s="1" t="s">
        <v>480</v>
      </c>
      <c r="G55" s="1" t="s">
        <v>23</v>
      </c>
      <c r="H55">
        <v>4060200</v>
      </c>
      <c r="I55" s="1" t="s">
        <v>1514</v>
      </c>
      <c r="J55">
        <v>288</v>
      </c>
      <c r="K55">
        <v>288</v>
      </c>
      <c r="L55" s="1" t="s">
        <v>1479</v>
      </c>
      <c r="M55" s="1" t="s">
        <v>1507</v>
      </c>
      <c r="N55">
        <v>42.966666699999998</v>
      </c>
      <c r="O55">
        <v>-87.806667300000001</v>
      </c>
      <c r="P55" s="1" t="s">
        <v>25</v>
      </c>
      <c r="Q55" s="1" t="s">
        <v>26</v>
      </c>
      <c r="R55" s="1" t="s">
        <v>518</v>
      </c>
      <c r="S55" s="2">
        <v>52823.5</v>
      </c>
    </row>
    <row r="56" spans="1:19" x14ac:dyDescent="0.3">
      <c r="A56" s="1" t="s">
        <v>19</v>
      </c>
      <c r="B56" s="1" t="s">
        <v>1499</v>
      </c>
      <c r="C56" s="1" t="s">
        <v>1500</v>
      </c>
      <c r="D56" s="1" t="s">
        <v>1518</v>
      </c>
      <c r="E56" s="1" t="s">
        <v>1516</v>
      </c>
      <c r="F56" s="1" t="s">
        <v>480</v>
      </c>
      <c r="G56" s="1" t="s">
        <v>23</v>
      </c>
      <c r="H56">
        <v>4060200</v>
      </c>
      <c r="I56" s="1" t="s">
        <v>1519</v>
      </c>
      <c r="J56">
        <v>282</v>
      </c>
      <c r="K56">
        <v>282</v>
      </c>
      <c r="L56" s="1" t="s">
        <v>1479</v>
      </c>
      <c r="M56" s="1" t="s">
        <v>1507</v>
      </c>
      <c r="N56">
        <v>43.079999700000002</v>
      </c>
      <c r="O56">
        <v>-87.805000199999995</v>
      </c>
      <c r="P56" s="1" t="s">
        <v>25</v>
      </c>
      <c r="Q56" s="1" t="s">
        <v>26</v>
      </c>
      <c r="R56" s="1" t="s">
        <v>518</v>
      </c>
      <c r="S56" s="2">
        <v>52823.5</v>
      </c>
    </row>
    <row r="57" spans="1:19" x14ac:dyDescent="0.3">
      <c r="A57" s="1" t="s">
        <v>19</v>
      </c>
      <c r="B57" s="1" t="s">
        <v>769</v>
      </c>
      <c r="C57" s="1" t="s">
        <v>770</v>
      </c>
      <c r="D57" s="1" t="s">
        <v>1437</v>
      </c>
      <c r="E57" s="1" t="s">
        <v>1418</v>
      </c>
      <c r="F57" s="1" t="s">
        <v>61</v>
      </c>
      <c r="G57" s="1" t="s">
        <v>23</v>
      </c>
      <c r="H57">
        <v>4150408</v>
      </c>
      <c r="I57" s="1" t="s">
        <v>1438</v>
      </c>
      <c r="J57">
        <v>282</v>
      </c>
      <c r="K57">
        <v>282</v>
      </c>
      <c r="L57" s="1" t="s">
        <v>1415</v>
      </c>
      <c r="M57" s="1" t="s">
        <v>1251</v>
      </c>
      <c r="N57">
        <v>44.9178</v>
      </c>
      <c r="O57">
        <v>-73.186400000000006</v>
      </c>
      <c r="P57" s="1" t="s">
        <v>396</v>
      </c>
      <c r="Q57" s="1" t="s">
        <v>26</v>
      </c>
      <c r="R57" s="1" t="s">
        <v>783</v>
      </c>
      <c r="S57" s="2">
        <v>1117.76</v>
      </c>
    </row>
    <row r="58" spans="1:19" x14ac:dyDescent="0.3">
      <c r="A58" s="1" t="s">
        <v>19</v>
      </c>
      <c r="B58" s="1" t="s">
        <v>1499</v>
      </c>
      <c r="C58" s="1" t="s">
        <v>1500</v>
      </c>
      <c r="D58" s="1" t="s">
        <v>1515</v>
      </c>
      <c r="E58" s="1" t="s">
        <v>1516</v>
      </c>
      <c r="F58" s="1" t="s">
        <v>480</v>
      </c>
      <c r="G58" s="1" t="s">
        <v>23</v>
      </c>
      <c r="H58">
        <v>4060200</v>
      </c>
      <c r="I58" s="1" t="s">
        <v>1517</v>
      </c>
      <c r="J58">
        <v>281</v>
      </c>
      <c r="K58">
        <v>281</v>
      </c>
      <c r="L58" s="1" t="s">
        <v>1479</v>
      </c>
      <c r="M58" s="1" t="s">
        <v>1507</v>
      </c>
      <c r="N58">
        <v>43.078332600000003</v>
      </c>
      <c r="O58">
        <v>-87.846667100000005</v>
      </c>
      <c r="P58" s="1" t="s">
        <v>25</v>
      </c>
      <c r="Q58" s="1" t="s">
        <v>26</v>
      </c>
      <c r="R58" s="1" t="s">
        <v>518</v>
      </c>
      <c r="S58" s="2">
        <v>52823.5</v>
      </c>
    </row>
    <row r="59" spans="1:19" x14ac:dyDescent="0.3">
      <c r="A59" s="1" t="s">
        <v>19</v>
      </c>
      <c r="B59" s="1" t="s">
        <v>1499</v>
      </c>
      <c r="C59" s="1" t="s">
        <v>1500</v>
      </c>
      <c r="D59" s="1" t="s">
        <v>1520</v>
      </c>
      <c r="E59" s="1" t="s">
        <v>1521</v>
      </c>
      <c r="F59" s="1" t="s">
        <v>480</v>
      </c>
      <c r="G59" s="1" t="s">
        <v>23</v>
      </c>
      <c r="H59">
        <v>4060200</v>
      </c>
      <c r="I59" s="1" t="s">
        <v>1522</v>
      </c>
      <c r="J59">
        <v>280</v>
      </c>
      <c r="K59">
        <v>280</v>
      </c>
      <c r="L59" s="1" t="s">
        <v>1479</v>
      </c>
      <c r="M59" s="1" t="s">
        <v>1507</v>
      </c>
      <c r="N59">
        <v>43.1666667</v>
      </c>
      <c r="O59">
        <v>-87.745000099999999</v>
      </c>
      <c r="P59" s="1" t="s">
        <v>25</v>
      </c>
      <c r="Q59" s="1" t="s">
        <v>26</v>
      </c>
      <c r="R59" s="1" t="s">
        <v>518</v>
      </c>
      <c r="S59" s="2">
        <v>52823.5</v>
      </c>
    </row>
    <row r="60" spans="1:19" x14ac:dyDescent="0.3">
      <c r="A60" s="1" t="s">
        <v>19</v>
      </c>
      <c r="B60" s="1" t="s">
        <v>476</v>
      </c>
      <c r="C60" s="1" t="s">
        <v>477</v>
      </c>
      <c r="D60" s="1" t="s">
        <v>529</v>
      </c>
      <c r="E60" s="1" t="s">
        <v>530</v>
      </c>
      <c r="F60" s="1" t="s">
        <v>480</v>
      </c>
      <c r="G60" s="1" t="s">
        <v>23</v>
      </c>
      <c r="H60">
        <v>4060200</v>
      </c>
      <c r="I60" s="1" t="s">
        <v>531</v>
      </c>
      <c r="J60">
        <v>277</v>
      </c>
      <c r="K60">
        <v>277</v>
      </c>
      <c r="L60" s="1" t="s">
        <v>402</v>
      </c>
      <c r="M60" s="1" t="s">
        <v>437</v>
      </c>
      <c r="N60">
        <v>43.599888999999997</v>
      </c>
      <c r="O60">
        <v>-86.916636800000006</v>
      </c>
      <c r="P60" s="1" t="s">
        <v>25</v>
      </c>
      <c r="Q60" s="1" t="s">
        <v>26</v>
      </c>
      <c r="R60" s="1" t="s">
        <v>518</v>
      </c>
      <c r="S60" s="2">
        <v>52823.5</v>
      </c>
    </row>
    <row r="61" spans="1:19" x14ac:dyDescent="0.3">
      <c r="A61" s="1" t="s">
        <v>19</v>
      </c>
      <c r="B61" s="1" t="s">
        <v>769</v>
      </c>
      <c r="C61" s="1" t="s">
        <v>770</v>
      </c>
      <c r="D61" s="1" t="s">
        <v>1443</v>
      </c>
      <c r="E61" s="1" t="s">
        <v>1421</v>
      </c>
      <c r="F61" s="1" t="s">
        <v>61</v>
      </c>
      <c r="G61" s="1" t="s">
        <v>23</v>
      </c>
      <c r="H61">
        <v>4150408</v>
      </c>
      <c r="I61" s="1" t="s">
        <v>1444</v>
      </c>
      <c r="J61">
        <v>276</v>
      </c>
      <c r="K61">
        <v>276</v>
      </c>
      <c r="L61" s="1" t="s">
        <v>1415</v>
      </c>
      <c r="M61" s="1" t="s">
        <v>1423</v>
      </c>
      <c r="N61">
        <v>44.184199999999997</v>
      </c>
      <c r="O61">
        <v>-73.381100000000004</v>
      </c>
      <c r="P61" s="1" t="s">
        <v>396</v>
      </c>
      <c r="Q61" s="1" t="s">
        <v>26</v>
      </c>
      <c r="R61" s="1" t="s">
        <v>783</v>
      </c>
      <c r="S61" s="2">
        <v>1117.76</v>
      </c>
    </row>
    <row r="62" spans="1:19" x14ac:dyDescent="0.3">
      <c r="A62" s="1" t="s">
        <v>19</v>
      </c>
      <c r="B62" s="1" t="s">
        <v>476</v>
      </c>
      <c r="C62" s="1" t="s">
        <v>477</v>
      </c>
      <c r="D62" s="1" t="s">
        <v>810</v>
      </c>
      <c r="E62" s="1" t="s">
        <v>811</v>
      </c>
      <c r="F62" s="1" t="s">
        <v>480</v>
      </c>
      <c r="G62" s="1" t="s">
        <v>23</v>
      </c>
      <c r="H62">
        <v>4150200</v>
      </c>
      <c r="I62" s="1" t="s">
        <v>812</v>
      </c>
      <c r="J62">
        <v>274</v>
      </c>
      <c r="K62">
        <v>274</v>
      </c>
      <c r="L62" s="1" t="s">
        <v>776</v>
      </c>
      <c r="M62" s="1" t="s">
        <v>362</v>
      </c>
      <c r="N62">
        <v>43.442905099999997</v>
      </c>
      <c r="O62">
        <v>-77.438446600000006</v>
      </c>
      <c r="P62" s="1" t="s">
        <v>396</v>
      </c>
      <c r="Q62" s="1" t="s">
        <v>26</v>
      </c>
      <c r="R62" s="1" t="s">
        <v>809</v>
      </c>
      <c r="S62" s="2">
        <v>18934.7</v>
      </c>
    </row>
    <row r="63" spans="1:19" x14ac:dyDescent="0.3">
      <c r="A63" s="1" t="s">
        <v>19</v>
      </c>
      <c r="B63" s="1" t="s">
        <v>476</v>
      </c>
      <c r="C63" s="1" t="s">
        <v>477</v>
      </c>
      <c r="D63" s="1" t="s">
        <v>805</v>
      </c>
      <c r="E63" s="1" t="s">
        <v>806</v>
      </c>
      <c r="F63" s="1" t="s">
        <v>480</v>
      </c>
      <c r="G63" s="1" t="s">
        <v>23</v>
      </c>
      <c r="H63">
        <v>4150200</v>
      </c>
      <c r="I63" s="1" t="s">
        <v>807</v>
      </c>
      <c r="J63">
        <v>270</v>
      </c>
      <c r="K63">
        <v>270</v>
      </c>
      <c r="L63" s="1" t="s">
        <v>776</v>
      </c>
      <c r="M63" s="1" t="s">
        <v>808</v>
      </c>
      <c r="N63">
        <v>43.596605199999999</v>
      </c>
      <c r="O63">
        <v>-78.774414300000004</v>
      </c>
      <c r="P63" s="1" t="s">
        <v>396</v>
      </c>
      <c r="Q63" s="1" t="s">
        <v>26</v>
      </c>
      <c r="R63" s="1" t="s">
        <v>809</v>
      </c>
      <c r="S63" s="2">
        <v>18934.7</v>
      </c>
    </row>
    <row r="64" spans="1:19" x14ac:dyDescent="0.3">
      <c r="A64" s="1" t="s">
        <v>19</v>
      </c>
      <c r="B64" s="1" t="s">
        <v>476</v>
      </c>
      <c r="C64" s="1" t="s">
        <v>477</v>
      </c>
      <c r="D64" s="1" t="s">
        <v>493</v>
      </c>
      <c r="E64" s="1" t="s">
        <v>494</v>
      </c>
      <c r="F64" s="1" t="s">
        <v>480</v>
      </c>
      <c r="G64" s="1" t="s">
        <v>23</v>
      </c>
      <c r="H64">
        <v>4080300</v>
      </c>
      <c r="I64" s="1" t="s">
        <v>495</v>
      </c>
      <c r="J64">
        <v>258</v>
      </c>
      <c r="K64">
        <v>258</v>
      </c>
      <c r="L64" s="1" t="s">
        <v>402</v>
      </c>
      <c r="M64" s="1" t="s">
        <v>425</v>
      </c>
      <c r="N64">
        <v>44.761664500000002</v>
      </c>
      <c r="O64">
        <v>-82.783346300000005</v>
      </c>
      <c r="P64" s="1" t="s">
        <v>396</v>
      </c>
      <c r="Q64" s="1" t="s">
        <v>26</v>
      </c>
      <c r="R64" s="1" t="s">
        <v>483</v>
      </c>
      <c r="S64" s="2">
        <v>42496.7</v>
      </c>
    </row>
    <row r="65" spans="1:19" x14ac:dyDescent="0.3">
      <c r="A65" s="1" t="s">
        <v>19</v>
      </c>
      <c r="B65" s="1" t="s">
        <v>354</v>
      </c>
      <c r="C65" s="1" t="s">
        <v>355</v>
      </c>
      <c r="D65" s="1" t="s">
        <v>356</v>
      </c>
      <c r="E65" s="1" t="s">
        <v>357</v>
      </c>
      <c r="F65" s="1" t="s">
        <v>61</v>
      </c>
      <c r="G65" s="1" t="s">
        <v>23</v>
      </c>
      <c r="H65">
        <v>17050123</v>
      </c>
      <c r="I65" s="1" t="s">
        <v>358</v>
      </c>
      <c r="J65">
        <v>257</v>
      </c>
      <c r="K65">
        <v>257</v>
      </c>
      <c r="L65" s="1" t="s">
        <v>332</v>
      </c>
      <c r="M65" s="1" t="s">
        <v>333</v>
      </c>
      <c r="N65">
        <v>44.669296000000003</v>
      </c>
      <c r="O65">
        <v>-116.101201</v>
      </c>
      <c r="P65" s="1" t="s">
        <v>25</v>
      </c>
      <c r="Q65" s="1" t="s">
        <v>1594</v>
      </c>
      <c r="R65" s="1" t="s">
        <v>350</v>
      </c>
      <c r="S65" s="2">
        <v>105.286</v>
      </c>
    </row>
    <row r="66" spans="1:19" x14ac:dyDescent="0.3">
      <c r="A66" s="1" t="s">
        <v>19</v>
      </c>
      <c r="B66" s="1" t="s">
        <v>769</v>
      </c>
      <c r="C66" s="1" t="s">
        <v>770</v>
      </c>
      <c r="D66" s="1" t="s">
        <v>1469</v>
      </c>
      <c r="E66" s="1" t="s">
        <v>1418</v>
      </c>
      <c r="F66" s="1" t="s">
        <v>61</v>
      </c>
      <c r="G66" s="1" t="s">
        <v>23</v>
      </c>
      <c r="H66">
        <v>4150408</v>
      </c>
      <c r="I66" s="1" t="s">
        <v>1470</v>
      </c>
      <c r="J66">
        <v>253</v>
      </c>
      <c r="K66">
        <v>253</v>
      </c>
      <c r="L66" s="1" t="s">
        <v>1415</v>
      </c>
      <c r="M66" s="1" t="s">
        <v>1432</v>
      </c>
      <c r="N66">
        <v>44.839700000000001</v>
      </c>
      <c r="O66">
        <v>-73.296700000000001</v>
      </c>
      <c r="P66" s="1" t="s">
        <v>396</v>
      </c>
      <c r="Q66" s="1" t="s">
        <v>26</v>
      </c>
      <c r="R66" s="1" t="s">
        <v>783</v>
      </c>
      <c r="S66" s="2">
        <v>1117.76</v>
      </c>
    </row>
    <row r="67" spans="1:19" x14ac:dyDescent="0.3">
      <c r="A67" s="1" t="s">
        <v>62</v>
      </c>
      <c r="B67" s="1" t="s">
        <v>942</v>
      </c>
      <c r="C67" s="1" t="s">
        <v>943</v>
      </c>
      <c r="D67" s="1" t="s">
        <v>956</v>
      </c>
      <c r="E67" s="1" t="s">
        <v>957</v>
      </c>
      <c r="F67" s="1" t="s">
        <v>23</v>
      </c>
      <c r="G67" s="1" t="s">
        <v>23</v>
      </c>
      <c r="H67">
        <v>18010203</v>
      </c>
      <c r="I67" s="1" t="s">
        <v>958</v>
      </c>
      <c r="J67">
        <v>253</v>
      </c>
      <c r="K67">
        <v>253</v>
      </c>
      <c r="L67" s="1" t="s">
        <v>947</v>
      </c>
      <c r="M67" s="1" t="s">
        <v>948</v>
      </c>
      <c r="N67">
        <v>42.344752</v>
      </c>
      <c r="O67">
        <v>-121.8598427</v>
      </c>
      <c r="P67" s="1" t="s">
        <v>25</v>
      </c>
      <c r="Q67" s="1" t="s">
        <v>26</v>
      </c>
      <c r="R67" s="1" t="s">
        <v>949</v>
      </c>
      <c r="S67" s="2">
        <v>228.505</v>
      </c>
    </row>
    <row r="68" spans="1:19" x14ac:dyDescent="0.3">
      <c r="A68" s="1" t="s">
        <v>19</v>
      </c>
      <c r="B68" s="1" t="s">
        <v>476</v>
      </c>
      <c r="C68" s="1" t="s">
        <v>477</v>
      </c>
      <c r="D68" s="1" t="s">
        <v>490</v>
      </c>
      <c r="E68" s="1" t="s">
        <v>491</v>
      </c>
      <c r="F68" s="1" t="s">
        <v>480</v>
      </c>
      <c r="G68" s="1" t="s">
        <v>23</v>
      </c>
      <c r="H68">
        <v>4080300</v>
      </c>
      <c r="I68" s="1" t="s">
        <v>492</v>
      </c>
      <c r="J68">
        <v>252</v>
      </c>
      <c r="K68">
        <v>252</v>
      </c>
      <c r="L68" s="1" t="s">
        <v>402</v>
      </c>
      <c r="M68" s="1" t="s">
        <v>432</v>
      </c>
      <c r="N68">
        <v>44.453177400000001</v>
      </c>
      <c r="O68">
        <v>-82.341473399999998</v>
      </c>
      <c r="P68" s="1" t="s">
        <v>396</v>
      </c>
      <c r="Q68" s="1" t="s">
        <v>26</v>
      </c>
      <c r="R68" s="1" t="s">
        <v>483</v>
      </c>
      <c r="S68" s="2">
        <v>42496.7</v>
      </c>
    </row>
    <row r="69" spans="1:19" x14ac:dyDescent="0.3">
      <c r="A69" s="1" t="s">
        <v>19</v>
      </c>
      <c r="B69" s="1" t="s">
        <v>769</v>
      </c>
      <c r="C69" s="1" t="s">
        <v>770</v>
      </c>
      <c r="D69" s="1" t="s">
        <v>799</v>
      </c>
      <c r="E69" s="1" t="s">
        <v>797</v>
      </c>
      <c r="F69" s="1" t="s">
        <v>61</v>
      </c>
      <c r="G69" s="1" t="s">
        <v>23</v>
      </c>
      <c r="H69">
        <v>4150408</v>
      </c>
      <c r="I69" s="1" t="s">
        <v>800</v>
      </c>
      <c r="J69">
        <v>252</v>
      </c>
      <c r="K69">
        <v>252</v>
      </c>
      <c r="L69" s="1" t="s">
        <v>776</v>
      </c>
      <c r="M69" s="1" t="s">
        <v>782</v>
      </c>
      <c r="N69">
        <v>43.855800000000002</v>
      </c>
      <c r="O69">
        <v>-73.382800000000003</v>
      </c>
      <c r="P69" s="1" t="s">
        <v>396</v>
      </c>
      <c r="Q69" s="1" t="s">
        <v>26</v>
      </c>
      <c r="R69" s="1" t="s">
        <v>783</v>
      </c>
      <c r="S69" s="2">
        <v>1117.76</v>
      </c>
    </row>
    <row r="70" spans="1:19" x14ac:dyDescent="0.3">
      <c r="A70" s="1" t="s">
        <v>19</v>
      </c>
      <c r="B70" s="1" t="s">
        <v>769</v>
      </c>
      <c r="C70" s="1" t="s">
        <v>770</v>
      </c>
      <c r="D70" s="1" t="s">
        <v>1430</v>
      </c>
      <c r="E70" s="1" t="s">
        <v>788</v>
      </c>
      <c r="F70" s="1" t="s">
        <v>61</v>
      </c>
      <c r="G70" s="1" t="s">
        <v>23</v>
      </c>
      <c r="H70">
        <v>4150408</v>
      </c>
      <c r="I70" s="1" t="s">
        <v>1431</v>
      </c>
      <c r="J70">
        <v>252</v>
      </c>
      <c r="K70">
        <v>252</v>
      </c>
      <c r="L70" s="1" t="s">
        <v>1415</v>
      </c>
      <c r="M70" s="1" t="s">
        <v>1432</v>
      </c>
      <c r="N70">
        <v>44.845700000000001</v>
      </c>
      <c r="O70">
        <v>-73.311199999999999</v>
      </c>
      <c r="P70" s="1" t="s">
        <v>396</v>
      </c>
      <c r="Q70" s="1" t="s">
        <v>26</v>
      </c>
      <c r="R70" s="1" t="s">
        <v>783</v>
      </c>
      <c r="S70" s="2">
        <v>1117.76</v>
      </c>
    </row>
    <row r="71" spans="1:19" x14ac:dyDescent="0.3">
      <c r="A71" s="1" t="s">
        <v>19</v>
      </c>
      <c r="B71" s="1" t="s">
        <v>1012</v>
      </c>
      <c r="C71" s="1" t="s">
        <v>1013</v>
      </c>
      <c r="D71" s="1" t="s">
        <v>1014</v>
      </c>
      <c r="E71" s="1" t="s">
        <v>1015</v>
      </c>
      <c r="F71" s="1" t="s">
        <v>61</v>
      </c>
      <c r="G71" s="1" t="s">
        <v>23</v>
      </c>
      <c r="H71">
        <v>18010203</v>
      </c>
      <c r="I71" s="1" t="s">
        <v>1016</v>
      </c>
      <c r="J71">
        <v>252</v>
      </c>
      <c r="K71">
        <v>252</v>
      </c>
      <c r="L71" s="1" t="s">
        <v>947</v>
      </c>
      <c r="M71" s="1" t="s">
        <v>948</v>
      </c>
      <c r="N71">
        <v>42.241722199999998</v>
      </c>
      <c r="O71">
        <v>-121.82230749999999</v>
      </c>
      <c r="P71" s="1" t="s">
        <v>25</v>
      </c>
      <c r="Q71" s="1" t="s">
        <v>26</v>
      </c>
      <c r="R71" s="1" t="s">
        <v>949</v>
      </c>
      <c r="S71" s="2">
        <v>228.505</v>
      </c>
    </row>
    <row r="72" spans="1:19" x14ac:dyDescent="0.3">
      <c r="A72" s="1" t="s">
        <v>19</v>
      </c>
      <c r="B72" s="1" t="s">
        <v>476</v>
      </c>
      <c r="C72" s="1" t="s">
        <v>477</v>
      </c>
      <c r="D72" s="1" t="s">
        <v>546</v>
      </c>
      <c r="E72" s="1" t="s">
        <v>547</v>
      </c>
      <c r="F72" s="1" t="s">
        <v>480</v>
      </c>
      <c r="G72" s="1" t="s">
        <v>23</v>
      </c>
      <c r="H72">
        <v>4120200</v>
      </c>
      <c r="I72" s="1" t="s">
        <v>548</v>
      </c>
      <c r="J72">
        <v>251</v>
      </c>
      <c r="K72">
        <v>251</v>
      </c>
      <c r="L72" s="1" t="s">
        <v>402</v>
      </c>
      <c r="M72" s="1" t="s">
        <v>549</v>
      </c>
      <c r="N72">
        <v>46.894444900000003</v>
      </c>
      <c r="O72">
        <v>-85.851702799999998</v>
      </c>
      <c r="P72" s="1" t="s">
        <v>396</v>
      </c>
      <c r="Q72" s="1" t="s">
        <v>26</v>
      </c>
      <c r="R72" s="1" t="s">
        <v>545</v>
      </c>
      <c r="S72" s="2">
        <v>81837.100000000006</v>
      </c>
    </row>
    <row r="73" spans="1:19" x14ac:dyDescent="0.3">
      <c r="A73" s="1" t="s">
        <v>19</v>
      </c>
      <c r="B73" s="1" t="s">
        <v>1012</v>
      </c>
      <c r="C73" s="1" t="s">
        <v>1013</v>
      </c>
      <c r="D73" s="1" t="s">
        <v>1017</v>
      </c>
      <c r="E73" s="1" t="s">
        <v>1018</v>
      </c>
      <c r="F73" s="1" t="s">
        <v>61</v>
      </c>
      <c r="G73" s="1" t="s">
        <v>23</v>
      </c>
      <c r="H73">
        <v>18010203</v>
      </c>
      <c r="I73" s="1" t="s">
        <v>1019</v>
      </c>
      <c r="J73">
        <v>251</v>
      </c>
      <c r="K73">
        <v>251</v>
      </c>
      <c r="L73" s="1" t="s">
        <v>947</v>
      </c>
      <c r="M73" s="1" t="s">
        <v>948</v>
      </c>
      <c r="N73">
        <v>42.308389200000001</v>
      </c>
      <c r="O73">
        <v>-121.8562235</v>
      </c>
      <c r="P73" s="1" t="s">
        <v>25</v>
      </c>
      <c r="Q73" s="1" t="s">
        <v>26</v>
      </c>
      <c r="R73" s="1" t="s">
        <v>949</v>
      </c>
      <c r="S73" s="2">
        <v>228.505</v>
      </c>
    </row>
    <row r="74" spans="1:19" x14ac:dyDescent="0.3">
      <c r="A74" s="1" t="s">
        <v>19</v>
      </c>
      <c r="B74" s="1" t="s">
        <v>476</v>
      </c>
      <c r="C74" s="1" t="s">
        <v>477</v>
      </c>
      <c r="D74" s="1" t="s">
        <v>550</v>
      </c>
      <c r="E74" s="1" t="s">
        <v>551</v>
      </c>
      <c r="F74" s="1" t="s">
        <v>480</v>
      </c>
      <c r="G74" s="1" t="s">
        <v>23</v>
      </c>
      <c r="H74">
        <v>4020300</v>
      </c>
      <c r="I74" s="1" t="s">
        <v>552</v>
      </c>
      <c r="J74">
        <v>250</v>
      </c>
      <c r="K74">
        <v>250</v>
      </c>
      <c r="L74" s="1" t="s">
        <v>402</v>
      </c>
      <c r="M74" s="1" t="s">
        <v>426</v>
      </c>
      <c r="N74">
        <v>47.259048100000001</v>
      </c>
      <c r="O74">
        <v>-86.348130699999999</v>
      </c>
      <c r="P74" s="1" t="s">
        <v>396</v>
      </c>
      <c r="Q74" s="1" t="s">
        <v>26</v>
      </c>
      <c r="R74" s="1" t="s">
        <v>545</v>
      </c>
      <c r="S74" s="2">
        <v>81837.100000000006</v>
      </c>
    </row>
    <row r="75" spans="1:19" x14ac:dyDescent="0.3">
      <c r="A75" s="1" t="s">
        <v>19</v>
      </c>
      <c r="B75" s="1" t="s">
        <v>476</v>
      </c>
      <c r="C75" s="1" t="s">
        <v>477</v>
      </c>
      <c r="D75" s="1" t="s">
        <v>572</v>
      </c>
      <c r="E75" s="1" t="s">
        <v>573</v>
      </c>
      <c r="F75" s="1" t="s">
        <v>480</v>
      </c>
      <c r="G75" s="1" t="s">
        <v>23</v>
      </c>
      <c r="H75">
        <v>4060200</v>
      </c>
      <c r="I75" s="1" t="s">
        <v>574</v>
      </c>
      <c r="J75">
        <v>250</v>
      </c>
      <c r="K75">
        <v>250</v>
      </c>
      <c r="L75" s="1" t="s">
        <v>402</v>
      </c>
      <c r="M75" s="1" t="s">
        <v>575</v>
      </c>
      <c r="N75">
        <v>47.621436799999998</v>
      </c>
      <c r="O75">
        <v>-89.4631586</v>
      </c>
      <c r="P75" s="1" t="s">
        <v>396</v>
      </c>
      <c r="Q75" s="1" t="s">
        <v>26</v>
      </c>
      <c r="R75" s="1" t="s">
        <v>545</v>
      </c>
      <c r="S75" s="2">
        <v>81837.100000000006</v>
      </c>
    </row>
    <row r="76" spans="1:19" x14ac:dyDescent="0.3">
      <c r="A76" s="1" t="s">
        <v>19</v>
      </c>
      <c r="B76" s="1" t="s">
        <v>1012</v>
      </c>
      <c r="C76" s="1" t="s">
        <v>1013</v>
      </c>
      <c r="D76" s="1" t="s">
        <v>1020</v>
      </c>
      <c r="E76" s="1" t="s">
        <v>1021</v>
      </c>
      <c r="F76" s="1" t="s">
        <v>61</v>
      </c>
      <c r="G76" s="1" t="s">
        <v>23</v>
      </c>
      <c r="H76">
        <v>18010203</v>
      </c>
      <c r="I76" s="1" t="s">
        <v>1022</v>
      </c>
      <c r="J76">
        <v>250</v>
      </c>
      <c r="K76">
        <v>250</v>
      </c>
      <c r="L76" s="1" t="s">
        <v>947</v>
      </c>
      <c r="M76" s="1" t="s">
        <v>948</v>
      </c>
      <c r="N76">
        <v>42.3268901</v>
      </c>
      <c r="O76">
        <v>-121.9199235</v>
      </c>
      <c r="P76" s="1" t="s">
        <v>25</v>
      </c>
      <c r="Q76" s="1" t="s">
        <v>26</v>
      </c>
      <c r="R76" s="1" t="s">
        <v>949</v>
      </c>
      <c r="S76" s="2">
        <v>228.505</v>
      </c>
    </row>
    <row r="77" spans="1:19" x14ac:dyDescent="0.3">
      <c r="A77" s="1" t="s">
        <v>19</v>
      </c>
      <c r="B77" s="1" t="s">
        <v>1012</v>
      </c>
      <c r="C77" s="1" t="s">
        <v>1013</v>
      </c>
      <c r="D77" s="1" t="s">
        <v>1023</v>
      </c>
      <c r="E77" s="1" t="s">
        <v>1024</v>
      </c>
      <c r="F77" s="1" t="s">
        <v>61</v>
      </c>
      <c r="G77" s="1" t="s">
        <v>23</v>
      </c>
      <c r="H77">
        <v>18010203</v>
      </c>
      <c r="I77" s="1" t="s">
        <v>1025</v>
      </c>
      <c r="J77">
        <v>250</v>
      </c>
      <c r="K77">
        <v>250</v>
      </c>
      <c r="L77" s="1" t="s">
        <v>947</v>
      </c>
      <c r="M77" s="1" t="s">
        <v>948</v>
      </c>
      <c r="N77">
        <v>42.3690833</v>
      </c>
      <c r="O77">
        <v>-121.8486956</v>
      </c>
      <c r="P77" s="1" t="s">
        <v>25</v>
      </c>
      <c r="Q77" s="1" t="s">
        <v>26</v>
      </c>
      <c r="R77" s="1" t="s">
        <v>949</v>
      </c>
      <c r="S77" s="2">
        <v>228.505</v>
      </c>
    </row>
    <row r="78" spans="1:19" x14ac:dyDescent="0.3">
      <c r="A78" s="1" t="s">
        <v>19</v>
      </c>
      <c r="B78" s="1" t="s">
        <v>1012</v>
      </c>
      <c r="C78" s="1" t="s">
        <v>1013</v>
      </c>
      <c r="D78" s="1" t="s">
        <v>1026</v>
      </c>
      <c r="E78" s="1" t="s">
        <v>1027</v>
      </c>
      <c r="F78" s="1" t="s">
        <v>61</v>
      </c>
      <c r="G78" s="1" t="s">
        <v>23</v>
      </c>
      <c r="H78">
        <v>18010203</v>
      </c>
      <c r="I78" s="1" t="s">
        <v>1028</v>
      </c>
      <c r="J78">
        <v>250</v>
      </c>
      <c r="K78">
        <v>250</v>
      </c>
      <c r="L78" s="1" t="s">
        <v>947</v>
      </c>
      <c r="M78" s="1" t="s">
        <v>948</v>
      </c>
      <c r="N78">
        <v>42.422083000000001</v>
      </c>
      <c r="O78">
        <v>-121.9432796</v>
      </c>
      <c r="P78" s="1" t="s">
        <v>25</v>
      </c>
      <c r="Q78" s="1" t="s">
        <v>26</v>
      </c>
      <c r="R78" s="1" t="s">
        <v>949</v>
      </c>
      <c r="S78" s="2">
        <v>228.505</v>
      </c>
    </row>
    <row r="79" spans="1:19" x14ac:dyDescent="0.3">
      <c r="A79" s="1" t="s">
        <v>19</v>
      </c>
      <c r="B79" s="1" t="s">
        <v>1012</v>
      </c>
      <c r="C79" s="1" t="s">
        <v>1013</v>
      </c>
      <c r="D79" s="1" t="s">
        <v>1029</v>
      </c>
      <c r="E79" s="1" t="s">
        <v>1030</v>
      </c>
      <c r="F79" s="1" t="s">
        <v>61</v>
      </c>
      <c r="G79" s="1" t="s">
        <v>23</v>
      </c>
      <c r="H79">
        <v>18010203</v>
      </c>
      <c r="I79" s="1" t="s">
        <v>1031</v>
      </c>
      <c r="J79">
        <v>250</v>
      </c>
      <c r="K79">
        <v>250</v>
      </c>
      <c r="L79" s="1" t="s">
        <v>947</v>
      </c>
      <c r="M79" s="1" t="s">
        <v>948</v>
      </c>
      <c r="N79">
        <v>42.407249999999998</v>
      </c>
      <c r="O79">
        <v>-121.9630846</v>
      </c>
      <c r="P79" s="1" t="s">
        <v>25</v>
      </c>
      <c r="Q79" s="1" t="s">
        <v>26</v>
      </c>
      <c r="R79" s="1" t="s">
        <v>949</v>
      </c>
      <c r="S79" s="2">
        <v>228.505</v>
      </c>
    </row>
    <row r="80" spans="1:19" x14ac:dyDescent="0.3">
      <c r="A80" s="1" t="s">
        <v>19</v>
      </c>
      <c r="B80" s="1" t="s">
        <v>1012</v>
      </c>
      <c r="C80" s="1" t="s">
        <v>1013</v>
      </c>
      <c r="D80" s="1" t="s">
        <v>1032</v>
      </c>
      <c r="E80" s="1" t="s">
        <v>1033</v>
      </c>
      <c r="F80" s="1" t="s">
        <v>61</v>
      </c>
      <c r="G80" s="1" t="s">
        <v>23</v>
      </c>
      <c r="H80">
        <v>18010203</v>
      </c>
      <c r="I80" s="1" t="s">
        <v>1034</v>
      </c>
      <c r="J80">
        <v>249</v>
      </c>
      <c r="K80">
        <v>249</v>
      </c>
      <c r="L80" s="1" t="s">
        <v>947</v>
      </c>
      <c r="M80" s="1" t="s">
        <v>948</v>
      </c>
      <c r="N80">
        <v>42.441360899999999</v>
      </c>
      <c r="O80">
        <v>-121.9988346</v>
      </c>
      <c r="P80" s="1" t="s">
        <v>25</v>
      </c>
      <c r="Q80" s="1" t="s">
        <v>26</v>
      </c>
      <c r="R80" s="1" t="s">
        <v>949</v>
      </c>
      <c r="S80" s="2">
        <v>228.505</v>
      </c>
    </row>
    <row r="81" spans="1:19" x14ac:dyDescent="0.3">
      <c r="A81" s="1" t="s">
        <v>19</v>
      </c>
      <c r="B81" s="1" t="s">
        <v>1499</v>
      </c>
      <c r="C81" s="1" t="s">
        <v>1500</v>
      </c>
      <c r="D81" s="1" t="s">
        <v>1562</v>
      </c>
      <c r="E81" s="1" t="s">
        <v>1563</v>
      </c>
      <c r="F81" s="1" t="s">
        <v>480</v>
      </c>
      <c r="G81" s="1" t="s">
        <v>23</v>
      </c>
      <c r="H81">
        <v>4060200</v>
      </c>
      <c r="I81" s="1" t="s">
        <v>1564</v>
      </c>
      <c r="J81">
        <v>248</v>
      </c>
      <c r="K81">
        <v>248</v>
      </c>
      <c r="L81" s="1" t="s">
        <v>1479</v>
      </c>
      <c r="M81" s="1" t="s">
        <v>1507</v>
      </c>
      <c r="N81">
        <v>42.993832699999999</v>
      </c>
      <c r="O81">
        <v>-87.875000200000002</v>
      </c>
      <c r="P81" s="1" t="s">
        <v>25</v>
      </c>
      <c r="Q81" s="1" t="s">
        <v>26</v>
      </c>
      <c r="R81" s="1" t="s">
        <v>518</v>
      </c>
      <c r="S81" s="2">
        <v>52823.5</v>
      </c>
    </row>
    <row r="82" spans="1:19" x14ac:dyDescent="0.3">
      <c r="A82" s="1" t="s">
        <v>19</v>
      </c>
      <c r="B82" s="1" t="s">
        <v>769</v>
      </c>
      <c r="C82" s="1" t="s">
        <v>770</v>
      </c>
      <c r="D82" s="1" t="s">
        <v>1441</v>
      </c>
      <c r="E82" s="1" t="s">
        <v>780</v>
      </c>
      <c r="F82" s="1" t="s">
        <v>61</v>
      </c>
      <c r="G82" s="1" t="s">
        <v>23</v>
      </c>
      <c r="H82">
        <v>4150408</v>
      </c>
      <c r="I82" s="1" t="s">
        <v>1442</v>
      </c>
      <c r="J82">
        <v>248</v>
      </c>
      <c r="K82">
        <v>248</v>
      </c>
      <c r="L82" s="1" t="s">
        <v>1415</v>
      </c>
      <c r="M82" s="1" t="s">
        <v>1416</v>
      </c>
      <c r="N82">
        <v>44.4664</v>
      </c>
      <c r="O82">
        <v>-73.277199999999993</v>
      </c>
      <c r="P82" s="1" t="s">
        <v>396</v>
      </c>
      <c r="Q82" s="1" t="s">
        <v>26</v>
      </c>
      <c r="R82" s="1" t="s">
        <v>783</v>
      </c>
      <c r="S82" s="2">
        <v>1117.76</v>
      </c>
    </row>
    <row r="83" spans="1:19" x14ac:dyDescent="0.3">
      <c r="A83" s="1" t="s">
        <v>19</v>
      </c>
      <c r="B83" s="1" t="s">
        <v>1012</v>
      </c>
      <c r="C83" s="1" t="s">
        <v>1013</v>
      </c>
      <c r="D83" s="1" t="s">
        <v>1035</v>
      </c>
      <c r="E83" s="1" t="s">
        <v>1036</v>
      </c>
      <c r="F83" s="1" t="s">
        <v>61</v>
      </c>
      <c r="G83" s="1" t="s">
        <v>23</v>
      </c>
      <c r="H83">
        <v>18010203</v>
      </c>
      <c r="I83" s="1" t="s">
        <v>1037</v>
      </c>
      <c r="J83">
        <v>248</v>
      </c>
      <c r="K83">
        <v>248</v>
      </c>
      <c r="L83" s="1" t="s">
        <v>947</v>
      </c>
      <c r="M83" s="1" t="s">
        <v>948</v>
      </c>
      <c r="N83">
        <v>42.435721700000002</v>
      </c>
      <c r="O83">
        <v>-122.0281956</v>
      </c>
      <c r="P83" s="1" t="s">
        <v>25</v>
      </c>
      <c r="Q83" s="1" t="s">
        <v>26</v>
      </c>
      <c r="R83" s="1" t="s">
        <v>949</v>
      </c>
      <c r="S83" s="2">
        <v>228.505</v>
      </c>
    </row>
    <row r="84" spans="1:19" x14ac:dyDescent="0.3">
      <c r="A84" s="1" t="s">
        <v>19</v>
      </c>
      <c r="B84" s="1" t="s">
        <v>476</v>
      </c>
      <c r="C84" s="1" t="s">
        <v>477</v>
      </c>
      <c r="D84" s="1" t="s">
        <v>563</v>
      </c>
      <c r="E84" s="1" t="s">
        <v>564</v>
      </c>
      <c r="F84" s="1" t="s">
        <v>480</v>
      </c>
      <c r="G84" s="1" t="s">
        <v>23</v>
      </c>
      <c r="H84">
        <v>4020300</v>
      </c>
      <c r="I84" s="1" t="s">
        <v>565</v>
      </c>
      <c r="J84">
        <v>247</v>
      </c>
      <c r="K84">
        <v>247</v>
      </c>
      <c r="L84" s="1" t="s">
        <v>402</v>
      </c>
      <c r="M84" s="1" t="s">
        <v>562</v>
      </c>
      <c r="N84">
        <v>47.834101500000003</v>
      </c>
      <c r="O84">
        <v>-88.042814300000003</v>
      </c>
      <c r="P84" s="1" t="s">
        <v>396</v>
      </c>
      <c r="Q84" s="1" t="s">
        <v>26</v>
      </c>
      <c r="R84" s="1" t="s">
        <v>545</v>
      </c>
      <c r="S84" s="2">
        <v>81837.100000000006</v>
      </c>
    </row>
    <row r="85" spans="1:19" x14ac:dyDescent="0.3">
      <c r="A85" s="1" t="s">
        <v>19</v>
      </c>
      <c r="B85" s="1" t="s">
        <v>1499</v>
      </c>
      <c r="C85" s="1" t="s">
        <v>1500</v>
      </c>
      <c r="D85" s="1" t="s">
        <v>1565</v>
      </c>
      <c r="E85" s="1" t="s">
        <v>1566</v>
      </c>
      <c r="F85" s="1" t="s">
        <v>480</v>
      </c>
      <c r="G85" s="1" t="s">
        <v>23</v>
      </c>
      <c r="H85">
        <v>4060200</v>
      </c>
      <c r="I85" s="1" t="s">
        <v>1567</v>
      </c>
      <c r="J85">
        <v>247</v>
      </c>
      <c r="K85">
        <v>247</v>
      </c>
      <c r="L85" s="1" t="s">
        <v>1479</v>
      </c>
      <c r="M85" s="1" t="s">
        <v>1507</v>
      </c>
      <c r="N85">
        <v>43.056166599999997</v>
      </c>
      <c r="O85">
        <v>-87.870833099999999</v>
      </c>
      <c r="P85" s="1" t="s">
        <v>25</v>
      </c>
      <c r="Q85" s="1" t="s">
        <v>26</v>
      </c>
      <c r="R85" s="1" t="s">
        <v>518</v>
      </c>
      <c r="S85" s="2">
        <v>52823.5</v>
      </c>
    </row>
    <row r="86" spans="1:19" x14ac:dyDescent="0.3">
      <c r="A86" s="1" t="s">
        <v>19</v>
      </c>
      <c r="B86" s="1" t="s">
        <v>476</v>
      </c>
      <c r="C86" s="1" t="s">
        <v>477</v>
      </c>
      <c r="D86" s="1" t="s">
        <v>478</v>
      </c>
      <c r="E86" s="1" t="s">
        <v>479</v>
      </c>
      <c r="F86" s="1" t="s">
        <v>480</v>
      </c>
      <c r="G86" s="1" t="s">
        <v>23</v>
      </c>
      <c r="H86">
        <v>4080300</v>
      </c>
      <c r="I86" s="1" t="s">
        <v>481</v>
      </c>
      <c r="J86">
        <v>247</v>
      </c>
      <c r="K86">
        <v>247</v>
      </c>
      <c r="L86" s="1" t="s">
        <v>402</v>
      </c>
      <c r="M86" s="1" t="s">
        <v>482</v>
      </c>
      <c r="N86">
        <v>43.630639799999997</v>
      </c>
      <c r="O86">
        <v>-82.213519700000006</v>
      </c>
      <c r="P86" s="1" t="s">
        <v>396</v>
      </c>
      <c r="Q86" s="1" t="s">
        <v>26</v>
      </c>
      <c r="R86" s="1" t="s">
        <v>483</v>
      </c>
      <c r="S86" s="2">
        <v>42496.7</v>
      </c>
    </row>
    <row r="87" spans="1:19" x14ac:dyDescent="0.3">
      <c r="A87" s="1" t="s">
        <v>19</v>
      </c>
      <c r="B87" s="1" t="s">
        <v>366</v>
      </c>
      <c r="C87" s="1" t="s">
        <v>367</v>
      </c>
      <c r="D87" s="1" t="s">
        <v>369</v>
      </c>
      <c r="E87" s="1" t="s">
        <v>370</v>
      </c>
      <c r="F87" s="1" t="s">
        <v>22</v>
      </c>
      <c r="G87" s="1" t="s">
        <v>23</v>
      </c>
      <c r="H87">
        <v>5130103</v>
      </c>
      <c r="I87" s="1" t="s">
        <v>371</v>
      </c>
      <c r="J87">
        <v>245</v>
      </c>
      <c r="K87">
        <v>251</v>
      </c>
      <c r="L87" s="1" t="s">
        <v>368</v>
      </c>
      <c r="M87" s="1" t="s">
        <v>372</v>
      </c>
      <c r="N87">
        <v>36.937220000000003</v>
      </c>
      <c r="O87">
        <v>-84.902780000000007</v>
      </c>
      <c r="P87" s="1" t="s">
        <v>25</v>
      </c>
      <c r="Q87" s="1" t="s">
        <v>26</v>
      </c>
      <c r="R87" s="1" t="s">
        <v>373</v>
      </c>
      <c r="S87" s="2">
        <v>132.78299999999999</v>
      </c>
    </row>
    <row r="88" spans="1:19" x14ac:dyDescent="0.3">
      <c r="A88" s="1" t="s">
        <v>19</v>
      </c>
      <c r="B88" s="1" t="s">
        <v>476</v>
      </c>
      <c r="C88" s="1" t="s">
        <v>477</v>
      </c>
      <c r="D88" s="1" t="s">
        <v>559</v>
      </c>
      <c r="E88" s="1" t="s">
        <v>560</v>
      </c>
      <c r="F88" s="1" t="s">
        <v>480</v>
      </c>
      <c r="G88" s="1" t="s">
        <v>23</v>
      </c>
      <c r="H88">
        <v>4120200</v>
      </c>
      <c r="I88" s="1" t="s">
        <v>561</v>
      </c>
      <c r="J88">
        <v>245</v>
      </c>
      <c r="K88">
        <v>245</v>
      </c>
      <c r="L88" s="1" t="s">
        <v>402</v>
      </c>
      <c r="M88" s="1" t="s">
        <v>562</v>
      </c>
      <c r="N88">
        <v>47.514020000000002</v>
      </c>
      <c r="O88">
        <v>-87.5457514</v>
      </c>
      <c r="P88" s="1" t="s">
        <v>396</v>
      </c>
      <c r="Q88" s="1" t="s">
        <v>26</v>
      </c>
      <c r="R88" s="1" t="s">
        <v>545</v>
      </c>
      <c r="S88" s="2">
        <v>81837.100000000006</v>
      </c>
    </row>
    <row r="89" spans="1:19" x14ac:dyDescent="0.3">
      <c r="A89" s="1" t="s">
        <v>19</v>
      </c>
      <c r="B89" s="1" t="s">
        <v>476</v>
      </c>
      <c r="C89" s="1" t="s">
        <v>477</v>
      </c>
      <c r="D89" s="1" t="s">
        <v>566</v>
      </c>
      <c r="E89" s="1" t="s">
        <v>567</v>
      </c>
      <c r="F89" s="1" t="s">
        <v>480</v>
      </c>
      <c r="G89" s="1" t="s">
        <v>23</v>
      </c>
      <c r="H89">
        <v>4020300</v>
      </c>
      <c r="I89" s="1" t="s">
        <v>568</v>
      </c>
      <c r="J89">
        <v>244</v>
      </c>
      <c r="K89">
        <v>244</v>
      </c>
      <c r="L89" s="1" t="s">
        <v>402</v>
      </c>
      <c r="M89" s="1" t="s">
        <v>562</v>
      </c>
      <c r="N89">
        <v>48.239026000000003</v>
      </c>
      <c r="O89">
        <v>-88.544412399999999</v>
      </c>
      <c r="P89" s="1" t="s">
        <v>396</v>
      </c>
      <c r="Q89" s="1" t="s">
        <v>26</v>
      </c>
      <c r="R89" s="1" t="s">
        <v>545</v>
      </c>
      <c r="S89" s="2">
        <v>81837.100000000006</v>
      </c>
    </row>
    <row r="90" spans="1:19" x14ac:dyDescent="0.3">
      <c r="A90" s="1" t="s">
        <v>19</v>
      </c>
      <c r="B90" s="1" t="s">
        <v>476</v>
      </c>
      <c r="C90" s="1" t="s">
        <v>477</v>
      </c>
      <c r="D90" s="1" t="s">
        <v>569</v>
      </c>
      <c r="E90" s="1" t="s">
        <v>570</v>
      </c>
      <c r="F90" s="1" t="s">
        <v>480</v>
      </c>
      <c r="G90" s="1" t="s">
        <v>23</v>
      </c>
      <c r="H90">
        <v>4060200</v>
      </c>
      <c r="I90" s="1" t="s">
        <v>571</v>
      </c>
      <c r="J90">
        <v>244</v>
      </c>
      <c r="K90">
        <v>244</v>
      </c>
      <c r="L90" s="1" t="s">
        <v>402</v>
      </c>
      <c r="M90" s="1" t="s">
        <v>562</v>
      </c>
      <c r="N90">
        <v>47.741187600000003</v>
      </c>
      <c r="O90">
        <v>-88.737145799999993</v>
      </c>
      <c r="P90" s="1" t="s">
        <v>396</v>
      </c>
      <c r="Q90" s="1" t="s">
        <v>26</v>
      </c>
      <c r="R90" s="1" t="s">
        <v>545</v>
      </c>
      <c r="S90" s="2">
        <v>81837.100000000006</v>
      </c>
    </row>
    <row r="91" spans="1:19" x14ac:dyDescent="0.3">
      <c r="A91" s="1" t="s">
        <v>19</v>
      </c>
      <c r="B91" s="1" t="s">
        <v>476</v>
      </c>
      <c r="C91" s="1" t="s">
        <v>477</v>
      </c>
      <c r="D91" s="1" t="s">
        <v>583</v>
      </c>
      <c r="E91" s="1" t="s">
        <v>584</v>
      </c>
      <c r="F91" s="1" t="s">
        <v>480</v>
      </c>
      <c r="G91" s="1" t="s">
        <v>23</v>
      </c>
      <c r="H91">
        <v>4020300</v>
      </c>
      <c r="I91" s="1" t="s">
        <v>585</v>
      </c>
      <c r="J91">
        <v>244</v>
      </c>
      <c r="K91">
        <v>244</v>
      </c>
      <c r="L91" s="1" t="s">
        <v>582</v>
      </c>
      <c r="M91" s="1" t="s">
        <v>586</v>
      </c>
      <c r="N91">
        <v>47.513821999999998</v>
      </c>
      <c r="O91">
        <v>-90.150491200000005</v>
      </c>
      <c r="P91" s="1" t="s">
        <v>396</v>
      </c>
      <c r="Q91" s="1" t="s">
        <v>26</v>
      </c>
      <c r="R91" s="1" t="s">
        <v>545</v>
      </c>
      <c r="S91" s="2">
        <v>81837.100000000006</v>
      </c>
    </row>
    <row r="92" spans="1:19" x14ac:dyDescent="0.3">
      <c r="A92" s="1" t="s">
        <v>19</v>
      </c>
      <c r="B92" s="1" t="s">
        <v>476</v>
      </c>
      <c r="C92" s="1" t="s">
        <v>477</v>
      </c>
      <c r="D92" s="1" t="s">
        <v>499</v>
      </c>
      <c r="E92" s="1" t="s">
        <v>500</v>
      </c>
      <c r="F92" s="1" t="s">
        <v>480</v>
      </c>
      <c r="G92" s="1" t="s">
        <v>23</v>
      </c>
      <c r="H92">
        <v>4080300</v>
      </c>
      <c r="I92" s="1" t="s">
        <v>501</v>
      </c>
      <c r="J92">
        <v>244</v>
      </c>
      <c r="K92">
        <v>244</v>
      </c>
      <c r="L92" s="1" t="s">
        <v>402</v>
      </c>
      <c r="M92" s="1" t="s">
        <v>502</v>
      </c>
      <c r="N92">
        <v>45.449931300000003</v>
      </c>
      <c r="O92">
        <v>-82.915205299999997</v>
      </c>
      <c r="P92" s="1" t="s">
        <v>396</v>
      </c>
      <c r="Q92" s="1" t="s">
        <v>26</v>
      </c>
      <c r="R92" s="1" t="s">
        <v>483</v>
      </c>
      <c r="S92" s="2">
        <v>42496.7</v>
      </c>
    </row>
    <row r="93" spans="1:19" x14ac:dyDescent="0.3">
      <c r="A93" s="1" t="s">
        <v>19</v>
      </c>
      <c r="B93" s="1" t="s">
        <v>476</v>
      </c>
      <c r="C93" s="1" t="s">
        <v>477</v>
      </c>
      <c r="D93" s="1" t="s">
        <v>587</v>
      </c>
      <c r="E93" s="1" t="s">
        <v>588</v>
      </c>
      <c r="F93" s="1" t="s">
        <v>480</v>
      </c>
      <c r="G93" s="1" t="s">
        <v>23</v>
      </c>
      <c r="H93">
        <v>4020300</v>
      </c>
      <c r="I93" s="1" t="s">
        <v>589</v>
      </c>
      <c r="J93">
        <v>243</v>
      </c>
      <c r="K93">
        <v>243</v>
      </c>
      <c r="L93" s="1" t="s">
        <v>582</v>
      </c>
      <c r="M93" s="1" t="s">
        <v>586</v>
      </c>
      <c r="N93">
        <v>47.3774959</v>
      </c>
      <c r="O93">
        <v>-90.836994200000007</v>
      </c>
      <c r="P93" s="1" t="s">
        <v>396</v>
      </c>
      <c r="Q93" s="1" t="s">
        <v>26</v>
      </c>
      <c r="R93" s="1" t="s">
        <v>545</v>
      </c>
      <c r="S93" s="2">
        <v>81837.100000000006</v>
      </c>
    </row>
    <row r="94" spans="1:19" x14ac:dyDescent="0.3">
      <c r="A94" s="1" t="s">
        <v>19</v>
      </c>
      <c r="B94" s="1" t="s">
        <v>476</v>
      </c>
      <c r="C94" s="1" t="s">
        <v>477</v>
      </c>
      <c r="D94" s="1" t="s">
        <v>506</v>
      </c>
      <c r="E94" s="1" t="s">
        <v>507</v>
      </c>
      <c r="F94" s="1" t="s">
        <v>480</v>
      </c>
      <c r="G94" s="1" t="s">
        <v>23</v>
      </c>
      <c r="H94">
        <v>4080300</v>
      </c>
      <c r="I94" s="1" t="s">
        <v>508</v>
      </c>
      <c r="J94">
        <v>243</v>
      </c>
      <c r="K94">
        <v>243</v>
      </c>
      <c r="L94" s="1" t="s">
        <v>402</v>
      </c>
      <c r="M94" s="1" t="s">
        <v>502</v>
      </c>
      <c r="N94">
        <v>45.749841600000003</v>
      </c>
      <c r="O94">
        <v>-83.916638300000002</v>
      </c>
      <c r="P94" s="1" t="s">
        <v>396</v>
      </c>
      <c r="Q94" s="1" t="s">
        <v>26</v>
      </c>
      <c r="R94" s="1" t="s">
        <v>483</v>
      </c>
      <c r="S94" s="2">
        <v>42496.7</v>
      </c>
    </row>
    <row r="95" spans="1:19" x14ac:dyDescent="0.3">
      <c r="A95" s="1" t="s">
        <v>19</v>
      </c>
      <c r="B95" s="1" t="s">
        <v>476</v>
      </c>
      <c r="C95" s="1" t="s">
        <v>477</v>
      </c>
      <c r="D95" s="1" t="s">
        <v>487</v>
      </c>
      <c r="E95" s="1" t="s">
        <v>488</v>
      </c>
      <c r="F95" s="1" t="s">
        <v>480</v>
      </c>
      <c r="G95" s="1" t="s">
        <v>23</v>
      </c>
      <c r="H95">
        <v>4080300</v>
      </c>
      <c r="I95" s="1" t="s">
        <v>489</v>
      </c>
      <c r="J95">
        <v>241</v>
      </c>
      <c r="K95">
        <v>241</v>
      </c>
      <c r="L95" s="1" t="s">
        <v>402</v>
      </c>
      <c r="M95" s="1" t="s">
        <v>432</v>
      </c>
      <c r="N95">
        <v>44.1983715</v>
      </c>
      <c r="O95">
        <v>-82.503474699999998</v>
      </c>
      <c r="P95" s="1" t="s">
        <v>396</v>
      </c>
      <c r="Q95" s="1" t="s">
        <v>26</v>
      </c>
      <c r="R95" s="1" t="s">
        <v>483</v>
      </c>
      <c r="S95" s="2">
        <v>42496.7</v>
      </c>
    </row>
    <row r="96" spans="1:19" x14ac:dyDescent="0.3">
      <c r="A96" s="1" t="s">
        <v>19</v>
      </c>
      <c r="B96" s="1" t="s">
        <v>476</v>
      </c>
      <c r="C96" s="1" t="s">
        <v>477</v>
      </c>
      <c r="D96" s="1" t="s">
        <v>553</v>
      </c>
      <c r="E96" s="1" t="s">
        <v>554</v>
      </c>
      <c r="F96" s="1" t="s">
        <v>480</v>
      </c>
      <c r="G96" s="1" t="s">
        <v>23</v>
      </c>
      <c r="H96">
        <v>4120200</v>
      </c>
      <c r="I96" s="1" t="s">
        <v>555</v>
      </c>
      <c r="J96">
        <v>240</v>
      </c>
      <c r="K96">
        <v>240</v>
      </c>
      <c r="L96" s="1" t="s">
        <v>402</v>
      </c>
      <c r="M96" s="1" t="s">
        <v>426</v>
      </c>
      <c r="N96">
        <v>46.774660900000001</v>
      </c>
      <c r="O96">
        <v>-86.545231799999996</v>
      </c>
      <c r="P96" s="1" t="s">
        <v>396</v>
      </c>
      <c r="Q96" s="1" t="s">
        <v>26</v>
      </c>
      <c r="R96" s="1" t="s">
        <v>545</v>
      </c>
      <c r="S96" s="2">
        <v>81837.100000000006</v>
      </c>
    </row>
    <row r="97" spans="1:19" x14ac:dyDescent="0.3">
      <c r="A97" s="1" t="s">
        <v>19</v>
      </c>
      <c r="B97" s="1" t="s">
        <v>1233</v>
      </c>
      <c r="C97" s="1" t="s">
        <v>1234</v>
      </c>
      <c r="D97" s="1" t="s">
        <v>1363</v>
      </c>
      <c r="E97" s="1" t="s">
        <v>1364</v>
      </c>
      <c r="F97" s="1" t="s">
        <v>22</v>
      </c>
      <c r="G97" s="1" t="s">
        <v>23</v>
      </c>
      <c r="H97">
        <v>12030107</v>
      </c>
      <c r="I97" s="1" t="s">
        <v>1365</v>
      </c>
      <c r="J97">
        <v>239</v>
      </c>
      <c r="K97">
        <v>239</v>
      </c>
      <c r="L97" s="1" t="s">
        <v>1232</v>
      </c>
      <c r="M97" s="1" t="s">
        <v>1347</v>
      </c>
      <c r="N97">
        <v>32.243600000000001</v>
      </c>
      <c r="O97">
        <v>-96.137200000000007</v>
      </c>
      <c r="P97" s="1" t="s">
        <v>25</v>
      </c>
      <c r="Q97" s="1" t="s">
        <v>1594</v>
      </c>
      <c r="R97" s="1" t="s">
        <v>1366</v>
      </c>
      <c r="S97" s="2">
        <v>127.657</v>
      </c>
    </row>
    <row r="98" spans="1:19" x14ac:dyDescent="0.3">
      <c r="A98" s="1" t="s">
        <v>19</v>
      </c>
      <c r="B98" s="1" t="s">
        <v>1233</v>
      </c>
      <c r="C98" s="1" t="s">
        <v>1234</v>
      </c>
      <c r="D98" s="1" t="s">
        <v>1338</v>
      </c>
      <c r="E98" s="1" t="s">
        <v>1294</v>
      </c>
      <c r="F98" s="1" t="s">
        <v>22</v>
      </c>
      <c r="G98" s="1" t="s">
        <v>23</v>
      </c>
      <c r="H98">
        <v>12030109</v>
      </c>
      <c r="I98" s="1" t="s">
        <v>1339</v>
      </c>
      <c r="J98">
        <v>238</v>
      </c>
      <c r="K98">
        <v>238</v>
      </c>
      <c r="L98" s="1" t="s">
        <v>1232</v>
      </c>
      <c r="M98" s="1" t="s">
        <v>1292</v>
      </c>
      <c r="N98">
        <v>32.041200000000003</v>
      </c>
      <c r="O98">
        <v>-96.207499999999996</v>
      </c>
      <c r="P98" s="1" t="s">
        <v>25</v>
      </c>
      <c r="Q98" s="1" t="s">
        <v>1594</v>
      </c>
      <c r="R98" s="1" t="s">
        <v>1296</v>
      </c>
      <c r="S98" s="2">
        <v>169.14400000000001</v>
      </c>
    </row>
    <row r="99" spans="1:19" x14ac:dyDescent="0.3">
      <c r="A99" s="1" t="s">
        <v>19</v>
      </c>
      <c r="B99" s="1" t="s">
        <v>366</v>
      </c>
      <c r="C99" s="1" t="s">
        <v>367</v>
      </c>
      <c r="D99" s="1" t="s">
        <v>374</v>
      </c>
      <c r="E99" s="1" t="s">
        <v>375</v>
      </c>
      <c r="F99" s="1" t="s">
        <v>22</v>
      </c>
      <c r="G99" s="1" t="s">
        <v>23</v>
      </c>
      <c r="H99">
        <v>5130103</v>
      </c>
      <c r="I99" s="1" t="s">
        <v>376</v>
      </c>
      <c r="J99">
        <v>222</v>
      </c>
      <c r="K99">
        <v>228</v>
      </c>
      <c r="L99" s="1" t="s">
        <v>368</v>
      </c>
      <c r="M99" s="1" t="s">
        <v>74</v>
      </c>
      <c r="N99">
        <v>36.981670000000001</v>
      </c>
      <c r="O99">
        <v>-84.684719999999999</v>
      </c>
      <c r="P99" s="1" t="s">
        <v>25</v>
      </c>
      <c r="Q99" s="1" t="s">
        <v>26</v>
      </c>
      <c r="R99" s="1" t="s">
        <v>373</v>
      </c>
      <c r="S99" s="2">
        <v>132.78299999999999</v>
      </c>
    </row>
    <row r="100" spans="1:19" x14ac:dyDescent="0.3">
      <c r="A100" s="1" t="s">
        <v>19</v>
      </c>
      <c r="B100" s="1" t="s">
        <v>769</v>
      </c>
      <c r="C100" s="1" t="s">
        <v>770</v>
      </c>
      <c r="D100" s="1" t="s">
        <v>1435</v>
      </c>
      <c r="E100" s="1" t="s">
        <v>1428</v>
      </c>
      <c r="F100" s="1" t="s">
        <v>61</v>
      </c>
      <c r="G100" s="1" t="s">
        <v>23</v>
      </c>
      <c r="H100">
        <v>4150408</v>
      </c>
      <c r="I100" s="1" t="s">
        <v>1436</v>
      </c>
      <c r="J100">
        <v>201</v>
      </c>
      <c r="K100">
        <v>201</v>
      </c>
      <c r="L100" s="1" t="s">
        <v>1415</v>
      </c>
      <c r="M100" s="1" t="s">
        <v>1416</v>
      </c>
      <c r="N100">
        <v>44.486600000000003</v>
      </c>
      <c r="O100">
        <v>-73.239500000000007</v>
      </c>
      <c r="P100" s="1" t="s">
        <v>396</v>
      </c>
      <c r="Q100" s="1" t="s">
        <v>26</v>
      </c>
      <c r="R100" s="1" t="s">
        <v>783</v>
      </c>
      <c r="S100" s="2">
        <v>1117.76</v>
      </c>
    </row>
    <row r="101" spans="1:19" x14ac:dyDescent="0.3">
      <c r="A101" s="1" t="s">
        <v>19</v>
      </c>
      <c r="B101" s="1" t="s">
        <v>1499</v>
      </c>
      <c r="C101" s="1" t="s">
        <v>1500</v>
      </c>
      <c r="D101" s="1" t="s">
        <v>1588</v>
      </c>
      <c r="E101" s="1" t="s">
        <v>1572</v>
      </c>
      <c r="F101" s="1" t="s">
        <v>480</v>
      </c>
      <c r="G101" s="1" t="s">
        <v>23</v>
      </c>
      <c r="H101">
        <v>4060200</v>
      </c>
      <c r="I101" s="1" t="s">
        <v>1589</v>
      </c>
      <c r="J101">
        <v>191</v>
      </c>
      <c r="K101">
        <v>191</v>
      </c>
      <c r="L101" s="1" t="s">
        <v>1479</v>
      </c>
      <c r="M101" s="1" t="s">
        <v>1507</v>
      </c>
      <c r="N101">
        <v>42.883166699999997</v>
      </c>
      <c r="O101">
        <v>-87.837667400000001</v>
      </c>
      <c r="P101" s="1" t="s">
        <v>25</v>
      </c>
      <c r="Q101" s="1" t="s">
        <v>26</v>
      </c>
      <c r="R101" s="1" t="s">
        <v>518</v>
      </c>
      <c r="S101" s="2">
        <v>52823.5</v>
      </c>
    </row>
    <row r="102" spans="1:19" x14ac:dyDescent="0.3">
      <c r="A102" s="1" t="s">
        <v>19</v>
      </c>
      <c r="B102" s="1" t="s">
        <v>1499</v>
      </c>
      <c r="C102" s="1" t="s">
        <v>1500</v>
      </c>
      <c r="D102" s="1" t="s">
        <v>1592</v>
      </c>
      <c r="E102" s="1" t="s">
        <v>1572</v>
      </c>
      <c r="F102" s="1" t="s">
        <v>480</v>
      </c>
      <c r="G102" s="1" t="s">
        <v>23</v>
      </c>
      <c r="H102">
        <v>4060200</v>
      </c>
      <c r="I102" s="1" t="s">
        <v>1593</v>
      </c>
      <c r="J102">
        <v>190</v>
      </c>
      <c r="K102">
        <v>190</v>
      </c>
      <c r="L102" s="1" t="s">
        <v>1479</v>
      </c>
      <c r="M102" s="1" t="s">
        <v>1507</v>
      </c>
      <c r="N102">
        <v>42.899166700000002</v>
      </c>
      <c r="O102">
        <v>-87.837667400000001</v>
      </c>
      <c r="P102" s="1" t="s">
        <v>25</v>
      </c>
      <c r="Q102" s="1" t="s">
        <v>26</v>
      </c>
      <c r="R102" s="1" t="s">
        <v>518</v>
      </c>
      <c r="S102" s="2">
        <v>52823.5</v>
      </c>
    </row>
    <row r="103" spans="1:19" x14ac:dyDescent="0.3">
      <c r="A103" s="1" t="s">
        <v>19</v>
      </c>
      <c r="B103" s="1" t="s">
        <v>769</v>
      </c>
      <c r="C103" s="1" t="s">
        <v>770</v>
      </c>
      <c r="D103" s="1" t="s">
        <v>793</v>
      </c>
      <c r="E103" s="1" t="s">
        <v>794</v>
      </c>
      <c r="F103" s="1" t="s">
        <v>61</v>
      </c>
      <c r="G103" s="1" t="s">
        <v>23</v>
      </c>
      <c r="H103">
        <v>4150408</v>
      </c>
      <c r="I103" s="1" t="s">
        <v>795</v>
      </c>
      <c r="J103">
        <v>187</v>
      </c>
      <c r="K103">
        <v>187</v>
      </c>
      <c r="L103" s="1" t="s">
        <v>776</v>
      </c>
      <c r="M103" s="1" t="s">
        <v>782</v>
      </c>
      <c r="N103">
        <v>43.953800000000001</v>
      </c>
      <c r="O103">
        <v>-73.405900000000003</v>
      </c>
      <c r="P103" s="1" t="s">
        <v>396</v>
      </c>
      <c r="Q103" s="1" t="s">
        <v>26</v>
      </c>
      <c r="R103" s="1" t="s">
        <v>783</v>
      </c>
      <c r="S103" s="2">
        <v>1117.76</v>
      </c>
    </row>
    <row r="104" spans="1:19" x14ac:dyDescent="0.3">
      <c r="A104" s="1" t="s">
        <v>19</v>
      </c>
      <c r="B104" s="1" t="s">
        <v>354</v>
      </c>
      <c r="C104" s="1" t="s">
        <v>355</v>
      </c>
      <c r="D104" s="1" t="s">
        <v>359</v>
      </c>
      <c r="E104" s="1" t="s">
        <v>360</v>
      </c>
      <c r="F104" s="1" t="s">
        <v>61</v>
      </c>
      <c r="G104" s="1" t="s">
        <v>23</v>
      </c>
      <c r="H104">
        <v>17050123</v>
      </c>
      <c r="I104" s="1" t="s">
        <v>361</v>
      </c>
      <c r="J104">
        <v>186</v>
      </c>
      <c r="K104">
        <v>186</v>
      </c>
      <c r="L104" s="1" t="s">
        <v>332</v>
      </c>
      <c r="M104" s="1" t="s">
        <v>333</v>
      </c>
      <c r="N104">
        <v>44.522055000000002</v>
      </c>
      <c r="O104">
        <v>-116.054721</v>
      </c>
      <c r="P104" s="1" t="s">
        <v>25</v>
      </c>
      <c r="Q104" s="1" t="s">
        <v>1594</v>
      </c>
      <c r="R104" s="1" t="s">
        <v>350</v>
      </c>
      <c r="S104" s="2">
        <v>105.286</v>
      </c>
    </row>
    <row r="105" spans="1:19" x14ac:dyDescent="0.3">
      <c r="A105" s="1" t="s">
        <v>19</v>
      </c>
      <c r="B105" s="1" t="s">
        <v>90</v>
      </c>
      <c r="C105" s="1" t="s">
        <v>91</v>
      </c>
      <c r="D105" s="1" t="s">
        <v>98</v>
      </c>
      <c r="E105" s="1" t="s">
        <v>99</v>
      </c>
      <c r="F105" s="1" t="s">
        <v>61</v>
      </c>
      <c r="G105" s="1" t="s">
        <v>23</v>
      </c>
      <c r="H105">
        <v>18020116</v>
      </c>
      <c r="I105" s="1" t="s">
        <v>100</v>
      </c>
      <c r="J105">
        <v>182</v>
      </c>
      <c r="K105">
        <v>182</v>
      </c>
      <c r="L105" s="1" t="s">
        <v>87</v>
      </c>
      <c r="M105" s="1" t="s">
        <v>88</v>
      </c>
      <c r="N105">
        <v>39.026842799999997</v>
      </c>
      <c r="O105">
        <v>-122.8869</v>
      </c>
      <c r="P105" s="1" t="s">
        <v>25</v>
      </c>
      <c r="Q105" s="1" t="s">
        <v>26</v>
      </c>
      <c r="R105" s="1" t="s">
        <v>89</v>
      </c>
      <c r="S105" s="2">
        <v>159.102</v>
      </c>
    </row>
    <row r="106" spans="1:19" x14ac:dyDescent="0.3">
      <c r="A106" s="1" t="s">
        <v>19</v>
      </c>
      <c r="B106" s="1" t="s">
        <v>476</v>
      </c>
      <c r="C106" s="1" t="s">
        <v>477</v>
      </c>
      <c r="D106" s="1" t="s">
        <v>1492</v>
      </c>
      <c r="E106" s="1" t="s">
        <v>1493</v>
      </c>
      <c r="F106" s="1" t="s">
        <v>480</v>
      </c>
      <c r="G106" s="1" t="s">
        <v>23</v>
      </c>
      <c r="H106">
        <v>4060200</v>
      </c>
      <c r="I106" s="1" t="s">
        <v>1494</v>
      </c>
      <c r="J106">
        <v>174</v>
      </c>
      <c r="K106">
        <v>174</v>
      </c>
      <c r="L106" s="1" t="s">
        <v>1479</v>
      </c>
      <c r="M106" s="1" t="s">
        <v>1491</v>
      </c>
      <c r="N106">
        <v>45.178064999999997</v>
      </c>
      <c r="O106">
        <v>-86.375345300000006</v>
      </c>
      <c r="P106" s="1" t="s">
        <v>25</v>
      </c>
      <c r="Q106" s="1" t="s">
        <v>26</v>
      </c>
      <c r="R106" s="1" t="s">
        <v>518</v>
      </c>
      <c r="S106" s="2">
        <v>52823.5</v>
      </c>
    </row>
    <row r="107" spans="1:19" x14ac:dyDescent="0.3">
      <c r="A107" s="1" t="s">
        <v>19</v>
      </c>
      <c r="B107" s="1" t="s">
        <v>476</v>
      </c>
      <c r="C107" s="1" t="s">
        <v>477</v>
      </c>
      <c r="D107" s="1" t="s">
        <v>1484</v>
      </c>
      <c r="E107" s="1" t="s">
        <v>1485</v>
      </c>
      <c r="F107" s="1" t="s">
        <v>480</v>
      </c>
      <c r="G107" s="1" t="s">
        <v>23</v>
      </c>
      <c r="H107">
        <v>4060200</v>
      </c>
      <c r="I107" s="1" t="s">
        <v>1486</v>
      </c>
      <c r="J107">
        <v>172</v>
      </c>
      <c r="K107">
        <v>172</v>
      </c>
      <c r="L107" s="1" t="s">
        <v>1479</v>
      </c>
      <c r="M107" s="1" t="s">
        <v>1487</v>
      </c>
      <c r="N107">
        <v>44.140053799999997</v>
      </c>
      <c r="O107">
        <v>-87.233515499999996</v>
      </c>
      <c r="P107" s="1" t="s">
        <v>25</v>
      </c>
      <c r="Q107" s="1" t="s">
        <v>26</v>
      </c>
      <c r="R107" s="1" t="s">
        <v>518</v>
      </c>
      <c r="S107" s="2">
        <v>52823.5</v>
      </c>
    </row>
    <row r="108" spans="1:19" x14ac:dyDescent="0.3">
      <c r="A108" s="1" t="s">
        <v>19</v>
      </c>
      <c r="B108" s="1" t="s">
        <v>476</v>
      </c>
      <c r="C108" s="1" t="s">
        <v>477</v>
      </c>
      <c r="D108" s="1" t="s">
        <v>1488</v>
      </c>
      <c r="E108" s="1" t="s">
        <v>1489</v>
      </c>
      <c r="F108" s="1" t="s">
        <v>480</v>
      </c>
      <c r="G108" s="1" t="s">
        <v>23</v>
      </c>
      <c r="H108">
        <v>4060200</v>
      </c>
      <c r="I108" s="1" t="s">
        <v>1490</v>
      </c>
      <c r="J108">
        <v>171</v>
      </c>
      <c r="K108">
        <v>171</v>
      </c>
      <c r="L108" s="1" t="s">
        <v>1479</v>
      </c>
      <c r="M108" s="1" t="s">
        <v>1491</v>
      </c>
      <c r="N108">
        <v>44.7599491</v>
      </c>
      <c r="O108">
        <v>-86.966596999999993</v>
      </c>
      <c r="P108" s="1" t="s">
        <v>25</v>
      </c>
      <c r="Q108" s="1" t="s">
        <v>26</v>
      </c>
      <c r="R108" s="1" t="s">
        <v>518</v>
      </c>
      <c r="S108" s="2">
        <v>52823.5</v>
      </c>
    </row>
    <row r="109" spans="1:19" x14ac:dyDescent="0.3">
      <c r="A109" s="1" t="s">
        <v>19</v>
      </c>
      <c r="B109" s="1" t="s">
        <v>476</v>
      </c>
      <c r="C109" s="1" t="s">
        <v>477</v>
      </c>
      <c r="D109" s="1" t="s">
        <v>532</v>
      </c>
      <c r="E109" s="1" t="s">
        <v>533</v>
      </c>
      <c r="F109" s="1" t="s">
        <v>480</v>
      </c>
      <c r="G109" s="1" t="s">
        <v>23</v>
      </c>
      <c r="H109">
        <v>4060200</v>
      </c>
      <c r="I109" s="1" t="s">
        <v>534</v>
      </c>
      <c r="J109">
        <v>169</v>
      </c>
      <c r="K109">
        <v>169</v>
      </c>
      <c r="L109" s="1" t="s">
        <v>402</v>
      </c>
      <c r="M109" s="1" t="s">
        <v>435</v>
      </c>
      <c r="N109">
        <v>44.090163199999999</v>
      </c>
      <c r="O109">
        <v>-86.766632299999998</v>
      </c>
      <c r="P109" s="1" t="s">
        <v>25</v>
      </c>
      <c r="Q109" s="1" t="s">
        <v>26</v>
      </c>
      <c r="R109" s="1" t="s">
        <v>518</v>
      </c>
      <c r="S109" s="2">
        <v>52823.5</v>
      </c>
    </row>
    <row r="110" spans="1:19" x14ac:dyDescent="0.3">
      <c r="A110" s="1" t="s">
        <v>19</v>
      </c>
      <c r="B110" s="1" t="s">
        <v>769</v>
      </c>
      <c r="C110" s="1" t="s">
        <v>770</v>
      </c>
      <c r="D110" s="1" t="s">
        <v>1417</v>
      </c>
      <c r="E110" s="1" t="s">
        <v>1418</v>
      </c>
      <c r="F110" s="1" t="s">
        <v>61</v>
      </c>
      <c r="G110" s="1" t="s">
        <v>23</v>
      </c>
      <c r="H110">
        <v>4150408</v>
      </c>
      <c r="I110" s="1" t="s">
        <v>1419</v>
      </c>
      <c r="J110">
        <v>169</v>
      </c>
      <c r="K110">
        <v>169</v>
      </c>
      <c r="L110" s="1" t="s">
        <v>1415</v>
      </c>
      <c r="M110" s="1" t="s">
        <v>1416</v>
      </c>
      <c r="N110">
        <v>44.63</v>
      </c>
      <c r="O110">
        <v>-73.25</v>
      </c>
      <c r="P110" s="1" t="s">
        <v>396</v>
      </c>
      <c r="Q110" s="1" t="s">
        <v>26</v>
      </c>
      <c r="R110" s="1" t="s">
        <v>783</v>
      </c>
      <c r="S110" s="2">
        <v>1117.76</v>
      </c>
    </row>
    <row r="111" spans="1:19" x14ac:dyDescent="0.3">
      <c r="A111" s="1" t="s">
        <v>19</v>
      </c>
      <c r="B111" s="1" t="s">
        <v>1233</v>
      </c>
      <c r="C111" s="1" t="s">
        <v>1234</v>
      </c>
      <c r="D111" s="1" t="s">
        <v>1257</v>
      </c>
      <c r="E111" s="1" t="s">
        <v>1258</v>
      </c>
      <c r="F111" s="1" t="s">
        <v>22</v>
      </c>
      <c r="G111" s="1" t="s">
        <v>23</v>
      </c>
      <c r="H111">
        <v>12010001</v>
      </c>
      <c r="I111" s="1" t="s">
        <v>1259</v>
      </c>
      <c r="J111">
        <v>169</v>
      </c>
      <c r="K111">
        <v>169</v>
      </c>
      <c r="L111" s="1" t="s">
        <v>1232</v>
      </c>
      <c r="M111" s="1" t="s">
        <v>1260</v>
      </c>
      <c r="N111">
        <v>32.827500000000001</v>
      </c>
      <c r="O111">
        <v>-95.922499999999999</v>
      </c>
      <c r="P111" s="1" t="s">
        <v>25</v>
      </c>
      <c r="Q111" s="1" t="s">
        <v>26</v>
      </c>
      <c r="R111" s="1" t="s">
        <v>1261</v>
      </c>
      <c r="S111" s="2">
        <v>146.791</v>
      </c>
    </row>
    <row r="112" spans="1:19" x14ac:dyDescent="0.3">
      <c r="A112" s="1" t="s">
        <v>19</v>
      </c>
      <c r="B112" s="1" t="s">
        <v>769</v>
      </c>
      <c r="C112" s="1" t="s">
        <v>770</v>
      </c>
      <c r="D112" s="1" t="s">
        <v>1463</v>
      </c>
      <c r="E112" s="1" t="s">
        <v>1418</v>
      </c>
      <c r="F112" s="1" t="s">
        <v>61</v>
      </c>
      <c r="G112" s="1" t="s">
        <v>23</v>
      </c>
      <c r="H112">
        <v>4150408</v>
      </c>
      <c r="I112" s="1" t="s">
        <v>1464</v>
      </c>
      <c r="J112">
        <v>168</v>
      </c>
      <c r="K112">
        <v>168</v>
      </c>
      <c r="L112" s="1" t="s">
        <v>1415</v>
      </c>
      <c r="M112" s="1" t="s">
        <v>1416</v>
      </c>
      <c r="N112">
        <v>44.67</v>
      </c>
      <c r="O112">
        <v>-73.23</v>
      </c>
      <c r="P112" s="1" t="s">
        <v>396</v>
      </c>
      <c r="Q112" s="1" t="s">
        <v>26</v>
      </c>
      <c r="R112" s="1" t="s">
        <v>783</v>
      </c>
      <c r="S112" s="2">
        <v>1117.76</v>
      </c>
    </row>
    <row r="113" spans="1:19" x14ac:dyDescent="0.3">
      <c r="A113" s="1" t="s">
        <v>19</v>
      </c>
      <c r="B113" s="1" t="s">
        <v>476</v>
      </c>
      <c r="C113" s="1" t="s">
        <v>477</v>
      </c>
      <c r="D113" s="1" t="s">
        <v>522</v>
      </c>
      <c r="E113" s="1" t="s">
        <v>523</v>
      </c>
      <c r="F113" s="1" t="s">
        <v>480</v>
      </c>
      <c r="G113" s="1" t="s">
        <v>23</v>
      </c>
      <c r="H113">
        <v>4060200</v>
      </c>
      <c r="I113" s="1" t="s">
        <v>524</v>
      </c>
      <c r="J113">
        <v>167</v>
      </c>
      <c r="K113">
        <v>167</v>
      </c>
      <c r="L113" s="1" t="s">
        <v>402</v>
      </c>
      <c r="M113" s="1" t="s">
        <v>525</v>
      </c>
      <c r="N113">
        <v>42.819232200000002</v>
      </c>
      <c r="O113">
        <v>-86.6015795</v>
      </c>
      <c r="P113" s="1" t="s">
        <v>25</v>
      </c>
      <c r="Q113" s="1" t="s">
        <v>26</v>
      </c>
      <c r="R113" s="1" t="s">
        <v>518</v>
      </c>
      <c r="S113" s="2">
        <v>52823.5</v>
      </c>
    </row>
    <row r="114" spans="1:19" x14ac:dyDescent="0.3">
      <c r="A114" s="1" t="s">
        <v>19</v>
      </c>
      <c r="B114" s="1" t="s">
        <v>476</v>
      </c>
      <c r="C114" s="1" t="s">
        <v>477</v>
      </c>
      <c r="D114" s="1" t="s">
        <v>515</v>
      </c>
      <c r="E114" s="1" t="s">
        <v>516</v>
      </c>
      <c r="F114" s="1" t="s">
        <v>480</v>
      </c>
      <c r="G114" s="1" t="s">
        <v>23</v>
      </c>
      <c r="H114">
        <v>0</v>
      </c>
      <c r="I114" s="1" t="s">
        <v>517</v>
      </c>
      <c r="J114">
        <v>165</v>
      </c>
      <c r="K114">
        <v>165</v>
      </c>
      <c r="L114" s="1" t="s">
        <v>402</v>
      </c>
      <c r="M114" s="1" t="s">
        <v>438</v>
      </c>
      <c r="N114">
        <v>42.3825942</v>
      </c>
      <c r="O114">
        <v>-87.000406999999996</v>
      </c>
      <c r="P114" s="1" t="s">
        <v>25</v>
      </c>
      <c r="Q114" s="1" t="s">
        <v>26</v>
      </c>
      <c r="R114" s="1" t="s">
        <v>518</v>
      </c>
      <c r="S114" s="2">
        <v>52823.5</v>
      </c>
    </row>
    <row r="115" spans="1:19" x14ac:dyDescent="0.3">
      <c r="A115" s="1" t="s">
        <v>19</v>
      </c>
      <c r="B115" s="1" t="s">
        <v>476</v>
      </c>
      <c r="C115" s="1" t="s">
        <v>477</v>
      </c>
      <c r="D115" s="1" t="s">
        <v>526</v>
      </c>
      <c r="E115" s="1" t="s">
        <v>527</v>
      </c>
      <c r="F115" s="1" t="s">
        <v>480</v>
      </c>
      <c r="G115" s="1" t="s">
        <v>23</v>
      </c>
      <c r="H115">
        <v>4060200</v>
      </c>
      <c r="I115" s="1" t="s">
        <v>528</v>
      </c>
      <c r="J115">
        <v>164</v>
      </c>
      <c r="K115">
        <v>164</v>
      </c>
      <c r="L115" s="1" t="s">
        <v>402</v>
      </c>
      <c r="M115" s="1" t="s">
        <v>436</v>
      </c>
      <c r="N115">
        <v>43.133513299999997</v>
      </c>
      <c r="O115">
        <v>-86.9954094</v>
      </c>
      <c r="P115" s="1" t="s">
        <v>25</v>
      </c>
      <c r="Q115" s="1" t="s">
        <v>26</v>
      </c>
      <c r="R115" s="1" t="s">
        <v>518</v>
      </c>
      <c r="S115" s="2">
        <v>52823.5</v>
      </c>
    </row>
    <row r="116" spans="1:19" x14ac:dyDescent="0.3">
      <c r="A116" s="1" t="s">
        <v>19</v>
      </c>
      <c r="B116" s="1" t="s">
        <v>476</v>
      </c>
      <c r="C116" s="1" t="s">
        <v>477</v>
      </c>
      <c r="D116" s="1" t="s">
        <v>1480</v>
      </c>
      <c r="E116" s="1" t="s">
        <v>1481</v>
      </c>
      <c r="F116" s="1" t="s">
        <v>480</v>
      </c>
      <c r="G116" s="1" t="s">
        <v>23</v>
      </c>
      <c r="H116">
        <v>4060200</v>
      </c>
      <c r="I116" s="1" t="s">
        <v>1482</v>
      </c>
      <c r="J116">
        <v>162</v>
      </c>
      <c r="K116">
        <v>162</v>
      </c>
      <c r="L116" s="1" t="s">
        <v>1479</v>
      </c>
      <c r="M116" s="1" t="s">
        <v>1483</v>
      </c>
      <c r="N116">
        <v>42.733352799999999</v>
      </c>
      <c r="O116">
        <v>-87.416740099999998</v>
      </c>
      <c r="P116" s="1" t="s">
        <v>25</v>
      </c>
      <c r="Q116" s="1" t="s">
        <v>26</v>
      </c>
      <c r="R116" s="1" t="s">
        <v>518</v>
      </c>
      <c r="S116" s="2">
        <v>52823.5</v>
      </c>
    </row>
    <row r="117" spans="1:19" x14ac:dyDescent="0.3">
      <c r="A117" s="1" t="s">
        <v>19</v>
      </c>
      <c r="B117" s="1" t="s">
        <v>476</v>
      </c>
      <c r="C117" s="1" t="s">
        <v>477</v>
      </c>
      <c r="D117" s="1" t="s">
        <v>813</v>
      </c>
      <c r="E117" s="1" t="s">
        <v>814</v>
      </c>
      <c r="F117" s="1" t="s">
        <v>480</v>
      </c>
      <c r="G117" s="1" t="s">
        <v>23</v>
      </c>
      <c r="H117">
        <v>4150200</v>
      </c>
      <c r="I117" s="1" t="s">
        <v>815</v>
      </c>
      <c r="J117">
        <v>162</v>
      </c>
      <c r="K117">
        <v>162</v>
      </c>
      <c r="L117" s="1" t="s">
        <v>776</v>
      </c>
      <c r="M117" s="1" t="s">
        <v>372</v>
      </c>
      <c r="N117">
        <v>43.580013200000003</v>
      </c>
      <c r="O117">
        <v>-77.202561200000005</v>
      </c>
      <c r="P117" s="1" t="s">
        <v>396</v>
      </c>
      <c r="Q117" s="1" t="s">
        <v>26</v>
      </c>
      <c r="R117" s="1" t="s">
        <v>809</v>
      </c>
      <c r="S117" s="2">
        <v>18934.7</v>
      </c>
    </row>
    <row r="118" spans="1:19" x14ac:dyDescent="0.3">
      <c r="A118" s="1" t="s">
        <v>19</v>
      </c>
      <c r="B118" s="1" t="s">
        <v>769</v>
      </c>
      <c r="C118" s="1" t="s">
        <v>770</v>
      </c>
      <c r="D118" s="1" t="s">
        <v>1465</v>
      </c>
      <c r="E118" s="1" t="s">
        <v>1418</v>
      </c>
      <c r="F118" s="1" t="s">
        <v>61</v>
      </c>
      <c r="G118" s="1" t="s">
        <v>23</v>
      </c>
      <c r="H118">
        <v>4150408</v>
      </c>
      <c r="I118" s="1" t="s">
        <v>1466</v>
      </c>
      <c r="J118">
        <v>157</v>
      </c>
      <c r="K118">
        <v>157</v>
      </c>
      <c r="L118" s="1" t="s">
        <v>1415</v>
      </c>
      <c r="M118" s="1" t="s">
        <v>1432</v>
      </c>
      <c r="N118">
        <v>44.755000000000003</v>
      </c>
      <c r="O118">
        <v>-73.311099999999996</v>
      </c>
      <c r="P118" s="1" t="s">
        <v>396</v>
      </c>
      <c r="Q118" s="1" t="s">
        <v>26</v>
      </c>
      <c r="R118" s="1" t="s">
        <v>783</v>
      </c>
      <c r="S118" s="2">
        <v>1117.76</v>
      </c>
    </row>
    <row r="119" spans="1:19" x14ac:dyDescent="0.3">
      <c r="A119" s="1" t="s">
        <v>19</v>
      </c>
      <c r="B119" s="1" t="s">
        <v>476</v>
      </c>
      <c r="C119" s="1" t="s">
        <v>477</v>
      </c>
      <c r="D119" s="1" t="s">
        <v>939</v>
      </c>
      <c r="E119" s="1" t="s">
        <v>940</v>
      </c>
      <c r="F119" s="1" t="s">
        <v>480</v>
      </c>
      <c r="G119" s="1" t="s">
        <v>23</v>
      </c>
      <c r="H119">
        <v>4120200</v>
      </c>
      <c r="I119" s="1" t="s">
        <v>941</v>
      </c>
      <c r="J119">
        <v>155</v>
      </c>
      <c r="K119">
        <v>155</v>
      </c>
      <c r="L119" s="1" t="s">
        <v>913</v>
      </c>
      <c r="M119" s="1" t="s">
        <v>88</v>
      </c>
      <c r="N119">
        <v>42.116738300000002</v>
      </c>
      <c r="O119">
        <v>-81.249898599999995</v>
      </c>
      <c r="P119" s="1" t="s">
        <v>396</v>
      </c>
      <c r="Q119" s="1" t="s">
        <v>26</v>
      </c>
      <c r="R119" s="1" t="s">
        <v>915</v>
      </c>
      <c r="S119" s="2">
        <v>25718.799999999999</v>
      </c>
    </row>
    <row r="120" spans="1:19" x14ac:dyDescent="0.3">
      <c r="A120" s="1" t="s">
        <v>19</v>
      </c>
      <c r="B120" s="1" t="s">
        <v>476</v>
      </c>
      <c r="C120" s="1" t="s">
        <v>477</v>
      </c>
      <c r="D120" s="1" t="s">
        <v>1038</v>
      </c>
      <c r="E120" s="1" t="s">
        <v>1039</v>
      </c>
      <c r="F120" s="1" t="s">
        <v>480</v>
      </c>
      <c r="G120" s="1" t="s">
        <v>23</v>
      </c>
      <c r="H120">
        <v>4120200</v>
      </c>
      <c r="I120" s="1" t="s">
        <v>1040</v>
      </c>
      <c r="J120">
        <v>151</v>
      </c>
      <c r="K120">
        <v>151</v>
      </c>
      <c r="L120" s="1" t="s">
        <v>1041</v>
      </c>
      <c r="M120" s="1" t="s">
        <v>1042</v>
      </c>
      <c r="N120">
        <v>42.4170078</v>
      </c>
      <c r="O120">
        <v>-79.800126199999994</v>
      </c>
      <c r="P120" s="1" t="s">
        <v>396</v>
      </c>
      <c r="Q120" s="1" t="s">
        <v>26</v>
      </c>
      <c r="R120" s="1" t="s">
        <v>915</v>
      </c>
      <c r="S120" s="2">
        <v>25718.799999999999</v>
      </c>
    </row>
    <row r="121" spans="1:19" x14ac:dyDescent="0.3">
      <c r="A121" s="1" t="s">
        <v>19</v>
      </c>
      <c r="B121" s="1" t="s">
        <v>125</v>
      </c>
      <c r="C121" s="1" t="s">
        <v>126</v>
      </c>
      <c r="D121" s="1" t="s">
        <v>994</v>
      </c>
      <c r="E121" s="1" t="s">
        <v>995</v>
      </c>
      <c r="F121" s="1" t="s">
        <v>22</v>
      </c>
      <c r="G121" s="1" t="s">
        <v>23</v>
      </c>
      <c r="H121">
        <v>18010203</v>
      </c>
      <c r="I121" s="1" t="s">
        <v>996</v>
      </c>
      <c r="J121">
        <v>150</v>
      </c>
      <c r="K121">
        <v>150</v>
      </c>
      <c r="L121" s="1" t="s">
        <v>947</v>
      </c>
      <c r="M121" s="1" t="s">
        <v>948</v>
      </c>
      <c r="N121">
        <v>42.3262</v>
      </c>
      <c r="O121">
        <v>-121.92100000000001</v>
      </c>
      <c r="P121" s="1" t="s">
        <v>25</v>
      </c>
      <c r="Q121" s="1" t="s">
        <v>26</v>
      </c>
      <c r="R121" s="1" t="s">
        <v>949</v>
      </c>
      <c r="S121" s="2">
        <v>228.505</v>
      </c>
    </row>
    <row r="122" spans="1:19" x14ac:dyDescent="0.3">
      <c r="A122" s="1" t="s">
        <v>19</v>
      </c>
      <c r="B122" s="1" t="s">
        <v>125</v>
      </c>
      <c r="C122" s="1" t="s">
        <v>126</v>
      </c>
      <c r="D122" s="1" t="s">
        <v>988</v>
      </c>
      <c r="E122" s="1" t="s">
        <v>989</v>
      </c>
      <c r="F122" s="1" t="s">
        <v>22</v>
      </c>
      <c r="G122" s="1" t="s">
        <v>23</v>
      </c>
      <c r="H122">
        <v>18010203</v>
      </c>
      <c r="I122" s="1" t="s">
        <v>990</v>
      </c>
      <c r="J122">
        <v>149</v>
      </c>
      <c r="K122">
        <v>149</v>
      </c>
      <c r="L122" s="1" t="s">
        <v>947</v>
      </c>
      <c r="M122" s="1" t="s">
        <v>948</v>
      </c>
      <c r="N122">
        <v>42.241599999999998</v>
      </c>
      <c r="O122">
        <v>-121.82299999999999</v>
      </c>
      <c r="P122" s="1" t="s">
        <v>25</v>
      </c>
      <c r="Q122" s="1" t="s">
        <v>26</v>
      </c>
      <c r="R122" s="1" t="s">
        <v>949</v>
      </c>
      <c r="S122" s="2">
        <v>228.505</v>
      </c>
    </row>
    <row r="123" spans="1:19" x14ac:dyDescent="0.3">
      <c r="A123" s="1" t="s">
        <v>19</v>
      </c>
      <c r="B123" s="1" t="s">
        <v>125</v>
      </c>
      <c r="C123" s="1" t="s">
        <v>126</v>
      </c>
      <c r="D123" s="1" t="s">
        <v>1003</v>
      </c>
      <c r="E123" s="1" t="s">
        <v>1004</v>
      </c>
      <c r="F123" s="1" t="s">
        <v>22</v>
      </c>
      <c r="G123" s="1" t="s">
        <v>23</v>
      </c>
      <c r="H123">
        <v>18010203</v>
      </c>
      <c r="I123" s="1" t="s">
        <v>1005</v>
      </c>
      <c r="J123">
        <v>146</v>
      </c>
      <c r="K123">
        <v>146</v>
      </c>
      <c r="L123" s="1" t="s">
        <v>947</v>
      </c>
      <c r="M123" s="1" t="s">
        <v>948</v>
      </c>
      <c r="N123">
        <v>42.4071</v>
      </c>
      <c r="O123">
        <v>-121.964</v>
      </c>
      <c r="P123" s="1" t="s">
        <v>25</v>
      </c>
      <c r="Q123" s="1" t="s">
        <v>26</v>
      </c>
      <c r="R123" s="1" t="s">
        <v>949</v>
      </c>
      <c r="S123" s="2">
        <v>228.505</v>
      </c>
    </row>
    <row r="124" spans="1:19" x14ac:dyDescent="0.3">
      <c r="A124" s="1" t="s">
        <v>19</v>
      </c>
      <c r="B124" s="1" t="s">
        <v>125</v>
      </c>
      <c r="C124" s="1" t="s">
        <v>126</v>
      </c>
      <c r="D124" s="1" t="s">
        <v>1006</v>
      </c>
      <c r="E124" s="1" t="s">
        <v>1007</v>
      </c>
      <c r="F124" s="1" t="s">
        <v>22</v>
      </c>
      <c r="G124" s="1" t="s">
        <v>23</v>
      </c>
      <c r="H124">
        <v>18010203</v>
      </c>
      <c r="I124" s="1" t="s">
        <v>1008</v>
      </c>
      <c r="J124">
        <v>146</v>
      </c>
      <c r="K124">
        <v>146</v>
      </c>
      <c r="L124" s="1" t="s">
        <v>947</v>
      </c>
      <c r="M124" s="1" t="s">
        <v>948</v>
      </c>
      <c r="N124">
        <v>42.441200000000002</v>
      </c>
      <c r="O124">
        <v>-122</v>
      </c>
      <c r="P124" s="1" t="s">
        <v>25</v>
      </c>
      <c r="Q124" s="1" t="s">
        <v>26</v>
      </c>
      <c r="R124" s="1" t="s">
        <v>949</v>
      </c>
      <c r="S124" s="2">
        <v>228.505</v>
      </c>
    </row>
    <row r="125" spans="1:19" x14ac:dyDescent="0.3">
      <c r="A125" s="1" t="s">
        <v>19</v>
      </c>
      <c r="B125" s="1" t="s">
        <v>125</v>
      </c>
      <c r="C125" s="1" t="s">
        <v>126</v>
      </c>
      <c r="D125" s="1" t="s">
        <v>991</v>
      </c>
      <c r="E125" s="1" t="s">
        <v>992</v>
      </c>
      <c r="F125" s="1" t="s">
        <v>22</v>
      </c>
      <c r="G125" s="1" t="s">
        <v>23</v>
      </c>
      <c r="H125">
        <v>18010203</v>
      </c>
      <c r="I125" s="1" t="s">
        <v>993</v>
      </c>
      <c r="J125">
        <v>145</v>
      </c>
      <c r="K125">
        <v>145</v>
      </c>
      <c r="L125" s="1" t="s">
        <v>947</v>
      </c>
      <c r="M125" s="1" t="s">
        <v>948</v>
      </c>
      <c r="N125">
        <v>42.308199999999999</v>
      </c>
      <c r="O125">
        <v>-121.857</v>
      </c>
      <c r="P125" s="1" t="s">
        <v>25</v>
      </c>
      <c r="Q125" s="1" t="s">
        <v>26</v>
      </c>
      <c r="R125" s="1" t="s">
        <v>949</v>
      </c>
      <c r="S125" s="2">
        <v>228.505</v>
      </c>
    </row>
    <row r="126" spans="1:19" x14ac:dyDescent="0.3">
      <c r="A126" s="1" t="s">
        <v>19</v>
      </c>
      <c r="B126" s="1" t="s">
        <v>125</v>
      </c>
      <c r="C126" s="1" t="s">
        <v>126</v>
      </c>
      <c r="D126" s="1" t="s">
        <v>1009</v>
      </c>
      <c r="E126" s="1" t="s">
        <v>1010</v>
      </c>
      <c r="F126" s="1" t="s">
        <v>22</v>
      </c>
      <c r="G126" s="1" t="s">
        <v>23</v>
      </c>
      <c r="H126">
        <v>18010203</v>
      </c>
      <c r="I126" s="1" t="s">
        <v>1011</v>
      </c>
      <c r="J126">
        <v>142</v>
      </c>
      <c r="K126">
        <v>142</v>
      </c>
      <c r="L126" s="1" t="s">
        <v>947</v>
      </c>
      <c r="M126" s="1" t="s">
        <v>948</v>
      </c>
      <c r="N126">
        <v>42.435600000000001</v>
      </c>
      <c r="O126">
        <v>-122.029</v>
      </c>
      <c r="P126" s="1" t="s">
        <v>25</v>
      </c>
      <c r="Q126" s="1" t="s">
        <v>26</v>
      </c>
      <c r="R126" s="1" t="s">
        <v>949</v>
      </c>
      <c r="S126" s="2">
        <v>228.505</v>
      </c>
    </row>
    <row r="127" spans="1:19" x14ac:dyDescent="0.3">
      <c r="A127" s="1" t="s">
        <v>19</v>
      </c>
      <c r="B127" s="1" t="s">
        <v>125</v>
      </c>
      <c r="C127" s="1" t="s">
        <v>126</v>
      </c>
      <c r="D127" s="1" t="s">
        <v>997</v>
      </c>
      <c r="E127" s="1" t="s">
        <v>998</v>
      </c>
      <c r="F127" s="1" t="s">
        <v>22</v>
      </c>
      <c r="G127" s="1" t="s">
        <v>23</v>
      </c>
      <c r="H127">
        <v>18010203</v>
      </c>
      <c r="I127" s="1" t="s">
        <v>999</v>
      </c>
      <c r="J127">
        <v>141</v>
      </c>
      <c r="K127">
        <v>141</v>
      </c>
      <c r="L127" s="1" t="s">
        <v>947</v>
      </c>
      <c r="M127" s="1" t="s">
        <v>948</v>
      </c>
      <c r="N127">
        <v>42.368899999999996</v>
      </c>
      <c r="O127">
        <v>-121.85</v>
      </c>
      <c r="P127" s="1" t="s">
        <v>25</v>
      </c>
      <c r="Q127" s="1" t="s">
        <v>26</v>
      </c>
      <c r="R127" s="1" t="s">
        <v>949</v>
      </c>
      <c r="S127" s="2">
        <v>228.505</v>
      </c>
    </row>
    <row r="128" spans="1:19" x14ac:dyDescent="0.3">
      <c r="A128" s="1" t="s">
        <v>19</v>
      </c>
      <c r="B128" s="1" t="s">
        <v>125</v>
      </c>
      <c r="C128" s="1" t="s">
        <v>126</v>
      </c>
      <c r="D128" s="1" t="s">
        <v>1000</v>
      </c>
      <c r="E128" s="1" t="s">
        <v>1001</v>
      </c>
      <c r="F128" s="1" t="s">
        <v>22</v>
      </c>
      <c r="G128" s="1" t="s">
        <v>23</v>
      </c>
      <c r="H128">
        <v>18010203</v>
      </c>
      <c r="I128" s="1" t="s">
        <v>1002</v>
      </c>
      <c r="J128">
        <v>141</v>
      </c>
      <c r="K128">
        <v>141</v>
      </c>
      <c r="L128" s="1" t="s">
        <v>947</v>
      </c>
      <c r="M128" s="1" t="s">
        <v>948</v>
      </c>
      <c r="N128">
        <v>42.421900000000001</v>
      </c>
      <c r="O128">
        <v>-121.944</v>
      </c>
      <c r="P128" s="1" t="s">
        <v>25</v>
      </c>
      <c r="Q128" s="1" t="s">
        <v>26</v>
      </c>
      <c r="R128" s="1" t="s">
        <v>949</v>
      </c>
      <c r="S128" s="2">
        <v>228.505</v>
      </c>
    </row>
    <row r="129" spans="1:19" x14ac:dyDescent="0.3">
      <c r="A129" s="1" t="s">
        <v>19</v>
      </c>
      <c r="B129" s="1" t="s">
        <v>1233</v>
      </c>
      <c r="C129" s="1" t="s">
        <v>1234</v>
      </c>
      <c r="D129" s="1" t="s">
        <v>1252</v>
      </c>
      <c r="E129" s="1" t="s">
        <v>1253</v>
      </c>
      <c r="F129" s="1" t="s">
        <v>22</v>
      </c>
      <c r="G129" s="1" t="s">
        <v>23</v>
      </c>
      <c r="H129">
        <v>12010004</v>
      </c>
      <c r="I129" s="1" t="s">
        <v>1254</v>
      </c>
      <c r="J129">
        <v>140</v>
      </c>
      <c r="K129">
        <v>140</v>
      </c>
      <c r="L129" s="1" t="s">
        <v>1232</v>
      </c>
      <c r="M129" s="1" t="s">
        <v>1255</v>
      </c>
      <c r="N129">
        <v>31.1677</v>
      </c>
      <c r="O129">
        <v>-93.578500000000005</v>
      </c>
      <c r="P129" s="1" t="s">
        <v>25</v>
      </c>
      <c r="Q129" s="1" t="s">
        <v>1594</v>
      </c>
      <c r="R129" s="1" t="s">
        <v>1256</v>
      </c>
      <c r="S129" s="2">
        <v>636.72</v>
      </c>
    </row>
    <row r="130" spans="1:19" x14ac:dyDescent="0.3">
      <c r="A130" s="1" t="s">
        <v>19</v>
      </c>
      <c r="B130" s="1" t="s">
        <v>289</v>
      </c>
      <c r="C130" s="1" t="s">
        <v>290</v>
      </c>
      <c r="D130" s="1" t="s">
        <v>295</v>
      </c>
      <c r="E130" s="1" t="s">
        <v>296</v>
      </c>
      <c r="F130" s="1" t="s">
        <v>61</v>
      </c>
      <c r="G130" s="1" t="s">
        <v>23</v>
      </c>
      <c r="H130">
        <v>3080101</v>
      </c>
      <c r="I130" s="1" t="s">
        <v>297</v>
      </c>
      <c r="J130">
        <v>130</v>
      </c>
      <c r="K130">
        <v>260</v>
      </c>
      <c r="L130" s="1" t="s">
        <v>127</v>
      </c>
      <c r="M130" s="1" t="s">
        <v>172</v>
      </c>
      <c r="N130">
        <v>29.254950000000001</v>
      </c>
      <c r="O130">
        <v>-81.591166700000002</v>
      </c>
      <c r="P130" s="1" t="s">
        <v>25</v>
      </c>
      <c r="Q130" s="1" t="s">
        <v>26</v>
      </c>
      <c r="R130" s="1" t="s">
        <v>173</v>
      </c>
      <c r="S130" s="2">
        <v>214.29</v>
      </c>
    </row>
    <row r="131" spans="1:19" x14ac:dyDescent="0.3">
      <c r="A131" s="1" t="s">
        <v>19</v>
      </c>
      <c r="B131" s="1" t="s">
        <v>439</v>
      </c>
      <c r="C131" s="1" t="s">
        <v>440</v>
      </c>
      <c r="D131" s="1" t="s">
        <v>441</v>
      </c>
      <c r="E131" s="1" t="s">
        <v>442</v>
      </c>
      <c r="F131" s="1" t="s">
        <v>61</v>
      </c>
      <c r="G131" s="1" t="s">
        <v>23</v>
      </c>
      <c r="H131">
        <v>4080300</v>
      </c>
      <c r="I131" s="1" t="s">
        <v>443</v>
      </c>
      <c r="J131">
        <v>130</v>
      </c>
      <c r="K131">
        <v>130</v>
      </c>
      <c r="L131" s="1" t="s">
        <v>402</v>
      </c>
      <c r="M131" s="1" t="s">
        <v>403</v>
      </c>
      <c r="N131">
        <v>43.941670000000002</v>
      </c>
      <c r="O131">
        <v>-83.623891999999998</v>
      </c>
      <c r="P131" s="1" t="s">
        <v>25</v>
      </c>
      <c r="Q131" s="1" t="s">
        <v>26</v>
      </c>
      <c r="R131" s="1" t="s">
        <v>404</v>
      </c>
      <c r="S131" s="2">
        <v>2976.93</v>
      </c>
    </row>
    <row r="132" spans="1:19" x14ac:dyDescent="0.3">
      <c r="A132" s="1" t="s">
        <v>19</v>
      </c>
      <c r="B132" s="1" t="s">
        <v>769</v>
      </c>
      <c r="C132" s="1" t="s">
        <v>770</v>
      </c>
      <c r="D132" s="1" t="s">
        <v>1467</v>
      </c>
      <c r="E132" s="1" t="s">
        <v>1418</v>
      </c>
      <c r="F132" s="1" t="s">
        <v>61</v>
      </c>
      <c r="G132" s="1" t="s">
        <v>23</v>
      </c>
      <c r="H132">
        <v>4150408</v>
      </c>
      <c r="I132" s="1" t="s">
        <v>1468</v>
      </c>
      <c r="J132">
        <v>130</v>
      </c>
      <c r="K132">
        <v>130</v>
      </c>
      <c r="L132" s="1" t="s">
        <v>1415</v>
      </c>
      <c r="M132" s="1" t="s">
        <v>1251</v>
      </c>
      <c r="N132">
        <v>44.758299999999998</v>
      </c>
      <c r="O132">
        <v>-73.221100000000007</v>
      </c>
      <c r="P132" s="1" t="s">
        <v>396</v>
      </c>
      <c r="Q132" s="1" t="s">
        <v>26</v>
      </c>
      <c r="R132" s="1" t="s">
        <v>783</v>
      </c>
      <c r="S132" s="2">
        <v>1117.76</v>
      </c>
    </row>
    <row r="133" spans="1:19" x14ac:dyDescent="0.3">
      <c r="A133" s="1" t="s">
        <v>19</v>
      </c>
      <c r="B133" s="1" t="s">
        <v>476</v>
      </c>
      <c r="C133" s="1" t="s">
        <v>477</v>
      </c>
      <c r="D133" s="1" t="s">
        <v>919</v>
      </c>
      <c r="E133" s="1" t="s">
        <v>920</v>
      </c>
      <c r="F133" s="1" t="s">
        <v>480</v>
      </c>
      <c r="G133" s="1" t="s">
        <v>23</v>
      </c>
      <c r="H133">
        <v>4120200</v>
      </c>
      <c r="I133" s="1" t="s">
        <v>921</v>
      </c>
      <c r="J133">
        <v>129</v>
      </c>
      <c r="K133">
        <v>129</v>
      </c>
      <c r="L133" s="1" t="s">
        <v>913</v>
      </c>
      <c r="M133" s="1" t="s">
        <v>88</v>
      </c>
      <c r="N133">
        <v>41.936994599999998</v>
      </c>
      <c r="O133">
        <v>-81.479022700000002</v>
      </c>
      <c r="P133" s="1" t="s">
        <v>396</v>
      </c>
      <c r="Q133" s="1" t="s">
        <v>26</v>
      </c>
      <c r="R133" s="1" t="s">
        <v>915</v>
      </c>
      <c r="S133" s="2">
        <v>25718.799999999999</v>
      </c>
    </row>
    <row r="134" spans="1:19" x14ac:dyDescent="0.3">
      <c r="A134" s="1" t="s">
        <v>19</v>
      </c>
      <c r="B134" s="1" t="s">
        <v>769</v>
      </c>
      <c r="C134" s="1" t="s">
        <v>770</v>
      </c>
      <c r="D134" s="1" t="s">
        <v>1461</v>
      </c>
      <c r="E134" s="1" t="s">
        <v>1418</v>
      </c>
      <c r="F134" s="1" t="s">
        <v>61</v>
      </c>
      <c r="G134" s="1" t="s">
        <v>23</v>
      </c>
      <c r="H134">
        <v>4150408</v>
      </c>
      <c r="I134" s="1" t="s">
        <v>1462</v>
      </c>
      <c r="J134">
        <v>129</v>
      </c>
      <c r="K134">
        <v>129</v>
      </c>
      <c r="L134" s="1" t="s">
        <v>1415</v>
      </c>
      <c r="M134" s="1" t="s">
        <v>1432</v>
      </c>
      <c r="N134">
        <v>44.664700000000003</v>
      </c>
      <c r="O134">
        <v>-73.303299999999993</v>
      </c>
      <c r="P134" s="1" t="s">
        <v>396</v>
      </c>
      <c r="Q134" s="1" t="s">
        <v>26</v>
      </c>
      <c r="R134" s="1" t="s">
        <v>783</v>
      </c>
      <c r="S134" s="2">
        <v>1117.76</v>
      </c>
    </row>
    <row r="135" spans="1:19" x14ac:dyDescent="0.3">
      <c r="A135" s="1" t="s">
        <v>19</v>
      </c>
      <c r="B135" s="1" t="s">
        <v>476</v>
      </c>
      <c r="C135" s="1" t="s">
        <v>477</v>
      </c>
      <c r="D135" s="1" t="s">
        <v>922</v>
      </c>
      <c r="E135" s="1" t="s">
        <v>923</v>
      </c>
      <c r="F135" s="1" t="s">
        <v>480</v>
      </c>
      <c r="G135" s="1" t="s">
        <v>23</v>
      </c>
      <c r="H135">
        <v>4120200</v>
      </c>
      <c r="I135" s="1" t="s">
        <v>924</v>
      </c>
      <c r="J135">
        <v>128</v>
      </c>
      <c r="K135">
        <v>128</v>
      </c>
      <c r="L135" s="1" t="s">
        <v>913</v>
      </c>
      <c r="M135" s="1" t="s">
        <v>925</v>
      </c>
      <c r="N135">
        <v>41.8065243</v>
      </c>
      <c r="O135">
        <v>-81.945008000000001</v>
      </c>
      <c r="P135" s="1" t="s">
        <v>396</v>
      </c>
      <c r="Q135" s="1" t="s">
        <v>26</v>
      </c>
      <c r="R135" s="1" t="s">
        <v>915</v>
      </c>
      <c r="S135" s="2">
        <v>25718.799999999999</v>
      </c>
    </row>
    <row r="136" spans="1:19" x14ac:dyDescent="0.3">
      <c r="A136" s="1" t="s">
        <v>19</v>
      </c>
      <c r="B136" s="1" t="s">
        <v>476</v>
      </c>
      <c r="C136" s="1" t="s">
        <v>477</v>
      </c>
      <c r="D136" s="1" t="s">
        <v>936</v>
      </c>
      <c r="E136" s="1" t="s">
        <v>937</v>
      </c>
      <c r="F136" s="1" t="s">
        <v>480</v>
      </c>
      <c r="G136" s="1" t="s">
        <v>23</v>
      </c>
      <c r="H136">
        <v>4120200</v>
      </c>
      <c r="I136" s="1" t="s">
        <v>938</v>
      </c>
      <c r="J136">
        <v>127</v>
      </c>
      <c r="K136">
        <v>127</v>
      </c>
      <c r="L136" s="1" t="s">
        <v>913</v>
      </c>
      <c r="M136" s="1" t="s">
        <v>925</v>
      </c>
      <c r="N136">
        <v>41.977692500000003</v>
      </c>
      <c r="O136">
        <v>-81.756961700000005</v>
      </c>
      <c r="P136" s="1" t="s">
        <v>396</v>
      </c>
      <c r="Q136" s="1" t="s">
        <v>26</v>
      </c>
      <c r="R136" s="1" t="s">
        <v>915</v>
      </c>
      <c r="S136" s="2">
        <v>25718.799999999999</v>
      </c>
    </row>
    <row r="137" spans="1:19" x14ac:dyDescent="0.3">
      <c r="A137" s="1" t="s">
        <v>19</v>
      </c>
      <c r="B137" s="1" t="s">
        <v>439</v>
      </c>
      <c r="C137" s="1" t="s">
        <v>440</v>
      </c>
      <c r="D137" s="1" t="s">
        <v>462</v>
      </c>
      <c r="E137" s="1" t="s">
        <v>463</v>
      </c>
      <c r="F137" s="1" t="s">
        <v>61</v>
      </c>
      <c r="G137" s="1" t="s">
        <v>23</v>
      </c>
      <c r="H137">
        <v>4080300</v>
      </c>
      <c r="I137" s="1" t="s">
        <v>464</v>
      </c>
      <c r="J137">
        <v>127</v>
      </c>
      <c r="K137">
        <v>127</v>
      </c>
      <c r="L137" s="1" t="s">
        <v>402</v>
      </c>
      <c r="M137" s="1" t="s">
        <v>417</v>
      </c>
      <c r="N137">
        <v>43.846947999999998</v>
      </c>
      <c r="O137">
        <v>-83.562505000000002</v>
      </c>
      <c r="P137" s="1" t="s">
        <v>25</v>
      </c>
      <c r="Q137" s="1" t="s">
        <v>26</v>
      </c>
      <c r="R137" s="1" t="s">
        <v>404</v>
      </c>
      <c r="S137" s="2">
        <v>2976.93</v>
      </c>
    </row>
    <row r="138" spans="1:19" x14ac:dyDescent="0.3">
      <c r="A138" s="1" t="s">
        <v>19</v>
      </c>
      <c r="B138" s="1" t="s">
        <v>439</v>
      </c>
      <c r="C138" s="1" t="s">
        <v>440</v>
      </c>
      <c r="D138" s="1" t="s">
        <v>474</v>
      </c>
      <c r="E138" s="1" t="s">
        <v>422</v>
      </c>
      <c r="F138" s="1" t="s">
        <v>61</v>
      </c>
      <c r="G138" s="1" t="s">
        <v>23</v>
      </c>
      <c r="H138">
        <v>4240002</v>
      </c>
      <c r="I138" s="1" t="s">
        <v>475</v>
      </c>
      <c r="J138">
        <v>127</v>
      </c>
      <c r="K138">
        <v>127</v>
      </c>
      <c r="L138" s="1" t="s">
        <v>402</v>
      </c>
      <c r="M138" s="1" t="s">
        <v>424</v>
      </c>
      <c r="N138">
        <v>43.738337000000001</v>
      </c>
      <c r="O138">
        <v>-83.640837000000005</v>
      </c>
      <c r="P138" s="1" t="s">
        <v>25</v>
      </c>
      <c r="Q138" s="1" t="s">
        <v>26</v>
      </c>
      <c r="R138" s="1" t="s">
        <v>404</v>
      </c>
      <c r="S138" s="2">
        <v>2976.93</v>
      </c>
    </row>
    <row r="139" spans="1:19" x14ac:dyDescent="0.3">
      <c r="A139" s="1" t="s">
        <v>19</v>
      </c>
      <c r="B139" s="1" t="s">
        <v>439</v>
      </c>
      <c r="C139" s="1" t="s">
        <v>440</v>
      </c>
      <c r="D139" s="1" t="s">
        <v>452</v>
      </c>
      <c r="E139" s="1" t="s">
        <v>453</v>
      </c>
      <c r="F139" s="1" t="s">
        <v>61</v>
      </c>
      <c r="G139" s="1" t="s">
        <v>23</v>
      </c>
      <c r="H139">
        <v>4080300</v>
      </c>
      <c r="I139" s="1" t="s">
        <v>454</v>
      </c>
      <c r="J139">
        <v>126</v>
      </c>
      <c r="K139">
        <v>126</v>
      </c>
      <c r="L139" s="1" t="s">
        <v>402</v>
      </c>
      <c r="M139" s="1" t="s">
        <v>143</v>
      </c>
      <c r="N139">
        <v>43.684725999999998</v>
      </c>
      <c r="O139">
        <v>-83.843059999999994</v>
      </c>
      <c r="P139" s="1" t="s">
        <v>25</v>
      </c>
      <c r="Q139" s="1" t="s">
        <v>26</v>
      </c>
      <c r="R139" s="1" t="s">
        <v>404</v>
      </c>
      <c r="S139" s="2">
        <v>2976.93</v>
      </c>
    </row>
    <row r="140" spans="1:19" x14ac:dyDescent="0.3">
      <c r="A140" s="1" t="s">
        <v>19</v>
      </c>
      <c r="B140" s="1" t="s">
        <v>439</v>
      </c>
      <c r="C140" s="1" t="s">
        <v>440</v>
      </c>
      <c r="D140" s="1" t="s">
        <v>465</v>
      </c>
      <c r="E140" s="1" t="s">
        <v>466</v>
      </c>
      <c r="F140" s="1" t="s">
        <v>61</v>
      </c>
      <c r="G140" s="1" t="s">
        <v>23</v>
      </c>
      <c r="H140">
        <v>4080300</v>
      </c>
      <c r="I140" s="1" t="s">
        <v>467</v>
      </c>
      <c r="J140">
        <v>126</v>
      </c>
      <c r="K140">
        <v>126</v>
      </c>
      <c r="L140" s="1" t="s">
        <v>402</v>
      </c>
      <c r="M140" s="1" t="s">
        <v>417</v>
      </c>
      <c r="N140">
        <v>43.883336999999997</v>
      </c>
      <c r="O140">
        <v>-83.393058999999994</v>
      </c>
      <c r="P140" s="1" t="s">
        <v>25</v>
      </c>
      <c r="Q140" s="1" t="s">
        <v>26</v>
      </c>
      <c r="R140" s="1" t="s">
        <v>404</v>
      </c>
      <c r="S140" s="2">
        <v>2976.93</v>
      </c>
    </row>
    <row r="141" spans="1:19" x14ac:dyDescent="0.3">
      <c r="A141" s="1" t="s">
        <v>19</v>
      </c>
      <c r="B141" s="1" t="s">
        <v>1499</v>
      </c>
      <c r="C141" s="1" t="s">
        <v>1500</v>
      </c>
      <c r="D141" s="1" t="s">
        <v>1578</v>
      </c>
      <c r="E141" s="1" t="s">
        <v>1572</v>
      </c>
      <c r="F141" s="1" t="s">
        <v>480</v>
      </c>
      <c r="G141" s="1" t="s">
        <v>23</v>
      </c>
      <c r="H141">
        <v>4060200</v>
      </c>
      <c r="I141" s="1" t="s">
        <v>1579</v>
      </c>
      <c r="J141">
        <v>125</v>
      </c>
      <c r="K141">
        <v>125</v>
      </c>
      <c r="L141" s="1" t="s">
        <v>1479</v>
      </c>
      <c r="M141" s="1" t="s">
        <v>1507</v>
      </c>
      <c r="N141">
        <v>42.893832699999997</v>
      </c>
      <c r="O141">
        <v>-87.841333399999996</v>
      </c>
      <c r="P141" s="1" t="s">
        <v>25</v>
      </c>
      <c r="Q141" s="1" t="s">
        <v>26</v>
      </c>
      <c r="R141" s="1" t="s">
        <v>518</v>
      </c>
      <c r="S141" s="2">
        <v>52823.5</v>
      </c>
    </row>
    <row r="142" spans="1:19" x14ac:dyDescent="0.3">
      <c r="A142" s="1" t="s">
        <v>19</v>
      </c>
      <c r="B142" s="1" t="s">
        <v>1499</v>
      </c>
      <c r="C142" s="1" t="s">
        <v>1500</v>
      </c>
      <c r="D142" s="1" t="s">
        <v>1580</v>
      </c>
      <c r="E142" s="1" t="s">
        <v>1572</v>
      </c>
      <c r="F142" s="1" t="s">
        <v>480</v>
      </c>
      <c r="G142" s="1" t="s">
        <v>23</v>
      </c>
      <c r="H142">
        <v>4060200</v>
      </c>
      <c r="I142" s="1" t="s">
        <v>1581</v>
      </c>
      <c r="J142">
        <v>125</v>
      </c>
      <c r="K142">
        <v>125</v>
      </c>
      <c r="L142" s="1" t="s">
        <v>1479</v>
      </c>
      <c r="M142" s="1" t="s">
        <v>1507</v>
      </c>
      <c r="N142">
        <v>42.893832699999997</v>
      </c>
      <c r="O142">
        <v>-87.834000399999994</v>
      </c>
      <c r="P142" s="1" t="s">
        <v>25</v>
      </c>
      <c r="Q142" s="1" t="s">
        <v>26</v>
      </c>
      <c r="R142" s="1" t="s">
        <v>518</v>
      </c>
      <c r="S142" s="2">
        <v>52823.5</v>
      </c>
    </row>
    <row r="143" spans="1:19" x14ac:dyDescent="0.3">
      <c r="A143" s="1" t="s">
        <v>19</v>
      </c>
      <c r="B143" s="1" t="s">
        <v>1499</v>
      </c>
      <c r="C143" s="1" t="s">
        <v>1500</v>
      </c>
      <c r="D143" s="1" t="s">
        <v>1584</v>
      </c>
      <c r="E143" s="1" t="s">
        <v>1572</v>
      </c>
      <c r="F143" s="1" t="s">
        <v>480</v>
      </c>
      <c r="G143" s="1" t="s">
        <v>23</v>
      </c>
      <c r="H143">
        <v>4060200</v>
      </c>
      <c r="I143" s="1" t="s">
        <v>1585</v>
      </c>
      <c r="J143">
        <v>125</v>
      </c>
      <c r="K143">
        <v>125</v>
      </c>
      <c r="L143" s="1" t="s">
        <v>1479</v>
      </c>
      <c r="M143" s="1" t="s">
        <v>1507</v>
      </c>
      <c r="N143">
        <v>42.888499699999997</v>
      </c>
      <c r="O143">
        <v>-87.841333399999996</v>
      </c>
      <c r="P143" s="1" t="s">
        <v>25</v>
      </c>
      <c r="Q143" s="1" t="s">
        <v>26</v>
      </c>
      <c r="R143" s="1" t="s">
        <v>518</v>
      </c>
      <c r="S143" s="2">
        <v>52823.5</v>
      </c>
    </row>
    <row r="144" spans="1:19" x14ac:dyDescent="0.3">
      <c r="A144" s="1" t="s">
        <v>19</v>
      </c>
      <c r="B144" s="1" t="s">
        <v>1499</v>
      </c>
      <c r="C144" s="1" t="s">
        <v>1500</v>
      </c>
      <c r="D144" s="1" t="s">
        <v>1586</v>
      </c>
      <c r="E144" s="1" t="s">
        <v>1572</v>
      </c>
      <c r="F144" s="1" t="s">
        <v>480</v>
      </c>
      <c r="G144" s="1" t="s">
        <v>23</v>
      </c>
      <c r="H144">
        <v>4060200</v>
      </c>
      <c r="I144" s="1" t="s">
        <v>1587</v>
      </c>
      <c r="J144">
        <v>125</v>
      </c>
      <c r="K144">
        <v>125</v>
      </c>
      <c r="L144" s="1" t="s">
        <v>1479</v>
      </c>
      <c r="M144" s="1" t="s">
        <v>1507</v>
      </c>
      <c r="N144">
        <v>42.888499699999997</v>
      </c>
      <c r="O144">
        <v>-87.834000399999994</v>
      </c>
      <c r="P144" s="1" t="s">
        <v>25</v>
      </c>
      <c r="Q144" s="1" t="s">
        <v>26</v>
      </c>
      <c r="R144" s="1" t="s">
        <v>518</v>
      </c>
      <c r="S144" s="2">
        <v>52823.5</v>
      </c>
    </row>
    <row r="145" spans="1:19" x14ac:dyDescent="0.3">
      <c r="A145" s="1" t="s">
        <v>19</v>
      </c>
      <c r="B145" s="1" t="s">
        <v>289</v>
      </c>
      <c r="C145" s="1" t="s">
        <v>290</v>
      </c>
      <c r="D145" s="1" t="s">
        <v>310</v>
      </c>
      <c r="E145" s="1" t="s">
        <v>311</v>
      </c>
      <c r="F145" s="1" t="s">
        <v>61</v>
      </c>
      <c r="G145" s="1" t="s">
        <v>23</v>
      </c>
      <c r="H145">
        <v>3080102</v>
      </c>
      <c r="I145" s="1" t="s">
        <v>312</v>
      </c>
      <c r="J145">
        <v>123</v>
      </c>
      <c r="K145">
        <v>246</v>
      </c>
      <c r="L145" s="1" t="s">
        <v>127</v>
      </c>
      <c r="M145" s="1" t="s">
        <v>166</v>
      </c>
      <c r="N145">
        <v>28.6617222</v>
      </c>
      <c r="O145">
        <v>-81.6046944</v>
      </c>
      <c r="P145" s="1" t="s">
        <v>25</v>
      </c>
      <c r="Q145" s="1" t="s">
        <v>26</v>
      </c>
      <c r="R145" s="1" t="s">
        <v>294</v>
      </c>
      <c r="S145" s="2">
        <v>124.66200000000001</v>
      </c>
    </row>
    <row r="146" spans="1:19" x14ac:dyDescent="0.3">
      <c r="A146" s="1" t="s">
        <v>19</v>
      </c>
      <c r="B146" s="1" t="s">
        <v>289</v>
      </c>
      <c r="C146" s="1" t="s">
        <v>290</v>
      </c>
      <c r="D146" s="1" t="s">
        <v>316</v>
      </c>
      <c r="E146" s="1" t="s">
        <v>317</v>
      </c>
      <c r="F146" s="1" t="s">
        <v>61</v>
      </c>
      <c r="G146" s="1" t="s">
        <v>23</v>
      </c>
      <c r="H146">
        <v>3080102</v>
      </c>
      <c r="I146" s="1" t="s">
        <v>318</v>
      </c>
      <c r="J146">
        <v>122</v>
      </c>
      <c r="K146">
        <v>244</v>
      </c>
      <c r="L146" s="1" t="s">
        <v>127</v>
      </c>
      <c r="M146" s="1" t="s">
        <v>166</v>
      </c>
      <c r="N146">
        <v>28.567444399999999</v>
      </c>
      <c r="O146">
        <v>-81.650611100000006</v>
      </c>
      <c r="P146" s="1" t="s">
        <v>25</v>
      </c>
      <c r="Q146" s="1" t="s">
        <v>26</v>
      </c>
      <c r="R146" s="1" t="s">
        <v>294</v>
      </c>
      <c r="S146" s="2">
        <v>124.66200000000001</v>
      </c>
    </row>
    <row r="147" spans="1:19" x14ac:dyDescent="0.3">
      <c r="A147" s="1" t="s">
        <v>19</v>
      </c>
      <c r="B147" s="1" t="s">
        <v>476</v>
      </c>
      <c r="C147" s="1" t="s">
        <v>477</v>
      </c>
      <c r="D147" s="1" t="s">
        <v>916</v>
      </c>
      <c r="E147" s="1" t="s">
        <v>917</v>
      </c>
      <c r="F147" s="1" t="s">
        <v>480</v>
      </c>
      <c r="G147" s="1" t="s">
        <v>23</v>
      </c>
      <c r="H147">
        <v>4120200</v>
      </c>
      <c r="I147" s="1" t="s">
        <v>918</v>
      </c>
      <c r="J147">
        <v>122</v>
      </c>
      <c r="K147">
        <v>122</v>
      </c>
      <c r="L147" s="1" t="s">
        <v>913</v>
      </c>
      <c r="M147" s="1" t="s">
        <v>88</v>
      </c>
      <c r="N147">
        <v>42.081605699999997</v>
      </c>
      <c r="O147">
        <v>-81.011850699999997</v>
      </c>
      <c r="P147" s="1" t="s">
        <v>396</v>
      </c>
      <c r="Q147" s="1" t="s">
        <v>26</v>
      </c>
      <c r="R147" s="1" t="s">
        <v>915</v>
      </c>
      <c r="S147" s="2">
        <v>25718.799999999999</v>
      </c>
    </row>
    <row r="148" spans="1:19" x14ac:dyDescent="0.3">
      <c r="A148" s="1" t="s">
        <v>19</v>
      </c>
      <c r="B148" s="1" t="s">
        <v>439</v>
      </c>
      <c r="C148" s="1" t="s">
        <v>440</v>
      </c>
      <c r="D148" s="1" t="s">
        <v>450</v>
      </c>
      <c r="E148" s="1" t="s">
        <v>409</v>
      </c>
      <c r="F148" s="1" t="s">
        <v>61</v>
      </c>
      <c r="G148" s="1" t="s">
        <v>23</v>
      </c>
      <c r="H148">
        <v>4080300</v>
      </c>
      <c r="I148" s="1" t="s">
        <v>451</v>
      </c>
      <c r="J148">
        <v>122</v>
      </c>
      <c r="K148">
        <v>122</v>
      </c>
      <c r="L148" s="1" t="s">
        <v>402</v>
      </c>
      <c r="M148" s="1" t="s">
        <v>143</v>
      </c>
      <c r="N148">
        <v>43.838059000000001</v>
      </c>
      <c r="O148">
        <v>-83.792781000000005</v>
      </c>
      <c r="P148" s="1" t="s">
        <v>25</v>
      </c>
      <c r="Q148" s="1" t="s">
        <v>26</v>
      </c>
      <c r="R148" s="1" t="s">
        <v>404</v>
      </c>
      <c r="S148" s="2">
        <v>2976.93</v>
      </c>
    </row>
    <row r="149" spans="1:19" x14ac:dyDescent="0.3">
      <c r="A149" s="1" t="s">
        <v>19</v>
      </c>
      <c r="B149" s="1" t="s">
        <v>1233</v>
      </c>
      <c r="C149" s="1" t="s">
        <v>1234</v>
      </c>
      <c r="D149" s="1" t="s">
        <v>1336</v>
      </c>
      <c r="E149" s="1" t="s">
        <v>1294</v>
      </c>
      <c r="F149" s="1" t="s">
        <v>22</v>
      </c>
      <c r="G149" s="1" t="s">
        <v>23</v>
      </c>
      <c r="H149">
        <v>12030108</v>
      </c>
      <c r="I149" s="1" t="s">
        <v>1337</v>
      </c>
      <c r="J149">
        <v>121</v>
      </c>
      <c r="K149">
        <v>121</v>
      </c>
      <c r="L149" s="1" t="s">
        <v>1232</v>
      </c>
      <c r="M149" s="1" t="s">
        <v>1292</v>
      </c>
      <c r="N149">
        <v>31.974399999999999</v>
      </c>
      <c r="O149">
        <v>-96.191500000000005</v>
      </c>
      <c r="P149" s="1" t="s">
        <v>25</v>
      </c>
      <c r="Q149" s="1" t="s">
        <v>1594</v>
      </c>
      <c r="R149" s="1" t="s">
        <v>1296</v>
      </c>
      <c r="S149" s="2">
        <v>169.14400000000001</v>
      </c>
    </row>
    <row r="150" spans="1:19" x14ac:dyDescent="0.3">
      <c r="A150" s="1" t="s">
        <v>19</v>
      </c>
      <c r="B150" s="1" t="s">
        <v>706</v>
      </c>
      <c r="C150" s="1" t="s">
        <v>707</v>
      </c>
      <c r="D150" s="1" t="s">
        <v>708</v>
      </c>
      <c r="E150" s="1" t="s">
        <v>709</v>
      </c>
      <c r="F150" s="1" t="s">
        <v>61</v>
      </c>
      <c r="G150" s="1" t="s">
        <v>23</v>
      </c>
      <c r="H150">
        <v>10180014</v>
      </c>
      <c r="I150" s="1" t="s">
        <v>710</v>
      </c>
      <c r="J150">
        <v>120</v>
      </c>
      <c r="K150">
        <v>120</v>
      </c>
      <c r="L150" s="1" t="s">
        <v>705</v>
      </c>
      <c r="M150" s="1" t="s">
        <v>711</v>
      </c>
      <c r="N150">
        <v>41.223469999999999</v>
      </c>
      <c r="O150">
        <v>-101.68465</v>
      </c>
      <c r="P150" s="1" t="s">
        <v>25</v>
      </c>
      <c r="Q150" s="1" t="s">
        <v>26</v>
      </c>
      <c r="R150" s="1" t="s">
        <v>712</v>
      </c>
      <c r="S150" s="2">
        <v>113.08</v>
      </c>
    </row>
    <row r="151" spans="1:19" x14ac:dyDescent="0.3">
      <c r="A151" s="1" t="s">
        <v>19</v>
      </c>
      <c r="B151" s="1" t="s">
        <v>1233</v>
      </c>
      <c r="C151" s="1" t="s">
        <v>1234</v>
      </c>
      <c r="D151" s="1" t="s">
        <v>1333</v>
      </c>
      <c r="E151" s="1" t="s">
        <v>1294</v>
      </c>
      <c r="F151" s="1" t="s">
        <v>22</v>
      </c>
      <c r="G151" s="1" t="s">
        <v>23</v>
      </c>
      <c r="H151">
        <v>12030108</v>
      </c>
      <c r="I151" s="1" t="s">
        <v>1334</v>
      </c>
      <c r="J151">
        <v>119</v>
      </c>
      <c r="K151">
        <v>119</v>
      </c>
      <c r="L151" s="1" t="s">
        <v>1232</v>
      </c>
      <c r="M151" s="1" t="s">
        <v>1335</v>
      </c>
      <c r="N151">
        <v>31.968800000000002</v>
      </c>
      <c r="O151">
        <v>-96.096599999999995</v>
      </c>
      <c r="P151" s="1" t="s">
        <v>25</v>
      </c>
      <c r="Q151" s="1" t="s">
        <v>1594</v>
      </c>
      <c r="R151" s="1" t="s">
        <v>1296</v>
      </c>
      <c r="S151" s="2">
        <v>169.14400000000001</v>
      </c>
    </row>
    <row r="152" spans="1:19" x14ac:dyDescent="0.3">
      <c r="A152" s="1" t="s">
        <v>19</v>
      </c>
      <c r="B152" s="1" t="s">
        <v>476</v>
      </c>
      <c r="C152" s="1" t="s">
        <v>477</v>
      </c>
      <c r="D152" s="1" t="s">
        <v>926</v>
      </c>
      <c r="E152" s="1" t="s">
        <v>927</v>
      </c>
      <c r="F152" s="1" t="s">
        <v>480</v>
      </c>
      <c r="G152" s="1" t="s">
        <v>23</v>
      </c>
      <c r="H152">
        <v>4120200</v>
      </c>
      <c r="I152" s="1" t="s">
        <v>928</v>
      </c>
      <c r="J152">
        <v>118</v>
      </c>
      <c r="K152">
        <v>118</v>
      </c>
      <c r="L152" s="1" t="s">
        <v>913</v>
      </c>
      <c r="M152" s="1" t="s">
        <v>525</v>
      </c>
      <c r="N152">
        <v>41.6867436</v>
      </c>
      <c r="O152">
        <v>-82.933309699999995</v>
      </c>
      <c r="P152" s="1" t="s">
        <v>396</v>
      </c>
      <c r="Q152" s="1" t="s">
        <v>26</v>
      </c>
      <c r="R152" s="1" t="s">
        <v>915</v>
      </c>
      <c r="S152" s="2">
        <v>25718.799999999999</v>
      </c>
    </row>
    <row r="153" spans="1:19" x14ac:dyDescent="0.3">
      <c r="A153" s="1" t="s">
        <v>19</v>
      </c>
      <c r="B153" s="1" t="s">
        <v>439</v>
      </c>
      <c r="C153" s="1" t="s">
        <v>440</v>
      </c>
      <c r="D153" s="1" t="s">
        <v>444</v>
      </c>
      <c r="E153" s="1" t="s">
        <v>445</v>
      </c>
      <c r="F153" s="1" t="s">
        <v>61</v>
      </c>
      <c r="G153" s="1" t="s">
        <v>23</v>
      </c>
      <c r="H153">
        <v>4080300</v>
      </c>
      <c r="I153" s="1" t="s">
        <v>446</v>
      </c>
      <c r="J153">
        <v>117</v>
      </c>
      <c r="K153">
        <v>117</v>
      </c>
      <c r="L153" s="1" t="s">
        <v>402</v>
      </c>
      <c r="M153" s="1" t="s">
        <v>403</v>
      </c>
      <c r="N153">
        <v>43.895280999999997</v>
      </c>
      <c r="O153">
        <v>-83.860558999999995</v>
      </c>
      <c r="P153" s="1" t="s">
        <v>25</v>
      </c>
      <c r="Q153" s="1" t="s">
        <v>26</v>
      </c>
      <c r="R153" s="1" t="s">
        <v>404</v>
      </c>
      <c r="S153" s="2">
        <v>2976.93</v>
      </c>
    </row>
    <row r="154" spans="1:19" x14ac:dyDescent="0.3">
      <c r="A154" s="1" t="s">
        <v>19</v>
      </c>
      <c r="B154" s="1" t="s">
        <v>181</v>
      </c>
      <c r="C154" s="1" t="s">
        <v>182</v>
      </c>
      <c r="D154" s="1" t="s">
        <v>225</v>
      </c>
      <c r="E154" s="1" t="s">
        <v>226</v>
      </c>
      <c r="F154" s="1" t="s">
        <v>61</v>
      </c>
      <c r="G154" s="1" t="s">
        <v>23</v>
      </c>
      <c r="H154">
        <v>3090201</v>
      </c>
      <c r="I154" s="1" t="s">
        <v>227</v>
      </c>
      <c r="J154">
        <v>115</v>
      </c>
      <c r="K154">
        <v>236</v>
      </c>
      <c r="L154" s="1" t="s">
        <v>127</v>
      </c>
      <c r="M154" s="1" t="s">
        <v>191</v>
      </c>
      <c r="N154">
        <v>26.9567303</v>
      </c>
      <c r="O154">
        <v>-80.972385000000003</v>
      </c>
      <c r="P154" s="1" t="s">
        <v>25</v>
      </c>
      <c r="Q154" s="1" t="s">
        <v>26</v>
      </c>
      <c r="R154" s="1" t="s">
        <v>192</v>
      </c>
      <c r="S154" s="2">
        <v>1470.65</v>
      </c>
    </row>
    <row r="155" spans="1:19" x14ac:dyDescent="0.3">
      <c r="A155" s="1" t="s">
        <v>19</v>
      </c>
      <c r="B155" s="1" t="s">
        <v>181</v>
      </c>
      <c r="C155" s="1" t="s">
        <v>182</v>
      </c>
      <c r="D155" s="1" t="s">
        <v>228</v>
      </c>
      <c r="E155" s="1" t="s">
        <v>229</v>
      </c>
      <c r="F155" s="1" t="s">
        <v>61</v>
      </c>
      <c r="G155" s="1" t="s">
        <v>23</v>
      </c>
      <c r="H155">
        <v>3090201</v>
      </c>
      <c r="I155" s="1" t="s">
        <v>230</v>
      </c>
      <c r="J155">
        <v>113</v>
      </c>
      <c r="K155">
        <v>238</v>
      </c>
      <c r="L155" s="1" t="s">
        <v>127</v>
      </c>
      <c r="M155" s="1" t="s">
        <v>231</v>
      </c>
      <c r="N155">
        <v>26.821751899999999</v>
      </c>
      <c r="O155">
        <v>-80.783420599999999</v>
      </c>
      <c r="P155" s="1" t="s">
        <v>25</v>
      </c>
      <c r="Q155" s="1" t="s">
        <v>26</v>
      </c>
      <c r="R155" s="1" t="s">
        <v>192</v>
      </c>
      <c r="S155" s="2">
        <v>1470.65</v>
      </c>
    </row>
    <row r="156" spans="1:19" x14ac:dyDescent="0.3">
      <c r="A156" s="1" t="s">
        <v>19</v>
      </c>
      <c r="B156" s="1" t="s">
        <v>181</v>
      </c>
      <c r="C156" s="1" t="s">
        <v>182</v>
      </c>
      <c r="D156" s="1" t="s">
        <v>209</v>
      </c>
      <c r="E156" s="1" t="s">
        <v>210</v>
      </c>
      <c r="F156" s="1" t="s">
        <v>61</v>
      </c>
      <c r="G156" s="1" t="s">
        <v>23</v>
      </c>
      <c r="H156">
        <v>3090201</v>
      </c>
      <c r="I156" s="1" t="s">
        <v>211</v>
      </c>
      <c r="J156">
        <v>113</v>
      </c>
      <c r="K156">
        <v>236</v>
      </c>
      <c r="L156" s="1" t="s">
        <v>127</v>
      </c>
      <c r="M156" s="1" t="s">
        <v>208</v>
      </c>
      <c r="N156">
        <v>27.1413008</v>
      </c>
      <c r="O156">
        <v>-80.8460003</v>
      </c>
      <c r="P156" s="1" t="s">
        <v>25</v>
      </c>
      <c r="Q156" s="1" t="s">
        <v>26</v>
      </c>
      <c r="R156" s="1" t="s">
        <v>192</v>
      </c>
      <c r="S156" s="2">
        <v>1470.65</v>
      </c>
    </row>
    <row r="157" spans="1:19" x14ac:dyDescent="0.3">
      <c r="A157" s="1" t="s">
        <v>19</v>
      </c>
      <c r="B157" s="1" t="s">
        <v>181</v>
      </c>
      <c r="C157" s="1" t="s">
        <v>182</v>
      </c>
      <c r="D157" s="1" t="s">
        <v>212</v>
      </c>
      <c r="E157" s="1" t="s">
        <v>213</v>
      </c>
      <c r="F157" s="1" t="s">
        <v>61</v>
      </c>
      <c r="G157" s="1" t="s">
        <v>23</v>
      </c>
      <c r="H157">
        <v>3090201</v>
      </c>
      <c r="I157" s="1" t="s">
        <v>214</v>
      </c>
      <c r="J157">
        <v>113</v>
      </c>
      <c r="K157">
        <v>226</v>
      </c>
      <c r="L157" s="1" t="s">
        <v>127</v>
      </c>
      <c r="M157" s="1" t="s">
        <v>208</v>
      </c>
      <c r="N157">
        <v>27.1396175</v>
      </c>
      <c r="O157">
        <v>-80.789033900000007</v>
      </c>
      <c r="P157" s="1" t="s">
        <v>25</v>
      </c>
      <c r="Q157" s="1" t="s">
        <v>26</v>
      </c>
      <c r="R157" s="1" t="s">
        <v>192</v>
      </c>
      <c r="S157" s="2">
        <v>1470.65</v>
      </c>
    </row>
    <row r="158" spans="1:19" x14ac:dyDescent="0.3">
      <c r="A158" s="1" t="s">
        <v>19</v>
      </c>
      <c r="B158" s="1" t="s">
        <v>476</v>
      </c>
      <c r="C158" s="1" t="s">
        <v>477</v>
      </c>
      <c r="D158" s="1" t="s">
        <v>929</v>
      </c>
      <c r="E158" s="1" t="s">
        <v>930</v>
      </c>
      <c r="F158" s="1" t="s">
        <v>480</v>
      </c>
      <c r="G158" s="1" t="s">
        <v>23</v>
      </c>
      <c r="H158">
        <v>4120200</v>
      </c>
      <c r="I158" s="1" t="s">
        <v>931</v>
      </c>
      <c r="J158">
        <v>113</v>
      </c>
      <c r="K158">
        <v>113</v>
      </c>
      <c r="L158" s="1" t="s">
        <v>913</v>
      </c>
      <c r="M158" s="1" t="s">
        <v>932</v>
      </c>
      <c r="N158">
        <v>41.726711600000002</v>
      </c>
      <c r="O158">
        <v>-83.150129899999996</v>
      </c>
      <c r="P158" s="1" t="s">
        <v>396</v>
      </c>
      <c r="Q158" s="1" t="s">
        <v>26</v>
      </c>
      <c r="R158" s="1" t="s">
        <v>915</v>
      </c>
      <c r="S158" s="2">
        <v>25718.799999999999</v>
      </c>
    </row>
    <row r="159" spans="1:19" x14ac:dyDescent="0.3">
      <c r="A159" s="1" t="s">
        <v>19</v>
      </c>
      <c r="B159" s="1" t="s">
        <v>181</v>
      </c>
      <c r="C159" s="1" t="s">
        <v>182</v>
      </c>
      <c r="D159" s="1" t="s">
        <v>245</v>
      </c>
      <c r="E159" s="1" t="s">
        <v>246</v>
      </c>
      <c r="F159" s="1" t="s">
        <v>61</v>
      </c>
      <c r="G159" s="1" t="s">
        <v>23</v>
      </c>
      <c r="H159">
        <v>3090201</v>
      </c>
      <c r="I159" s="1" t="s">
        <v>247</v>
      </c>
      <c r="J159">
        <v>112</v>
      </c>
      <c r="K159">
        <v>237</v>
      </c>
      <c r="L159" s="1" t="s">
        <v>127</v>
      </c>
      <c r="M159" s="1" t="s">
        <v>231</v>
      </c>
      <c r="N159">
        <v>26.901737199999999</v>
      </c>
      <c r="O159">
        <v>-80.789250300000006</v>
      </c>
      <c r="P159" s="1" t="s">
        <v>25</v>
      </c>
      <c r="Q159" s="1" t="s">
        <v>26</v>
      </c>
      <c r="R159" s="1" t="s">
        <v>192</v>
      </c>
      <c r="S159" s="2">
        <v>1470.65</v>
      </c>
    </row>
    <row r="160" spans="1:19" x14ac:dyDescent="0.3">
      <c r="A160" s="1" t="s">
        <v>19</v>
      </c>
      <c r="B160" s="1" t="s">
        <v>181</v>
      </c>
      <c r="C160" s="1" t="s">
        <v>182</v>
      </c>
      <c r="D160" s="1" t="s">
        <v>218</v>
      </c>
      <c r="E160" s="1" t="s">
        <v>219</v>
      </c>
      <c r="F160" s="1" t="s">
        <v>61</v>
      </c>
      <c r="G160" s="1" t="s">
        <v>23</v>
      </c>
      <c r="H160">
        <v>3090201</v>
      </c>
      <c r="I160" s="1" t="s">
        <v>220</v>
      </c>
      <c r="J160">
        <v>111</v>
      </c>
      <c r="K160">
        <v>230</v>
      </c>
      <c r="L160" s="1" t="s">
        <v>127</v>
      </c>
      <c r="M160" s="1" t="s">
        <v>221</v>
      </c>
      <c r="N160">
        <v>27.045392499999998</v>
      </c>
      <c r="O160">
        <v>-80.707974199999995</v>
      </c>
      <c r="P160" s="1" t="s">
        <v>25</v>
      </c>
      <c r="Q160" s="1" t="s">
        <v>26</v>
      </c>
      <c r="R160" s="1" t="s">
        <v>192</v>
      </c>
      <c r="S160" s="2">
        <v>1470.65</v>
      </c>
    </row>
    <row r="161" spans="1:19" x14ac:dyDescent="0.3">
      <c r="A161" s="1" t="s">
        <v>19</v>
      </c>
      <c r="B161" s="1" t="s">
        <v>181</v>
      </c>
      <c r="C161" s="1" t="s">
        <v>182</v>
      </c>
      <c r="D161" s="1" t="s">
        <v>222</v>
      </c>
      <c r="E161" s="1" t="s">
        <v>223</v>
      </c>
      <c r="F161" s="1" t="s">
        <v>61</v>
      </c>
      <c r="G161" s="1" t="s">
        <v>23</v>
      </c>
      <c r="H161">
        <v>3090201</v>
      </c>
      <c r="I161" s="1" t="s">
        <v>224</v>
      </c>
      <c r="J161">
        <v>110</v>
      </c>
      <c r="K161">
        <v>236</v>
      </c>
      <c r="L161" s="1" t="s">
        <v>127</v>
      </c>
      <c r="M161" s="1" t="s">
        <v>221</v>
      </c>
      <c r="N161">
        <v>26.977683899999999</v>
      </c>
      <c r="O161">
        <v>-80.709581700000001</v>
      </c>
      <c r="P161" s="1" t="s">
        <v>25</v>
      </c>
      <c r="Q161" s="1" t="s">
        <v>26</v>
      </c>
      <c r="R161" s="1" t="s">
        <v>192</v>
      </c>
      <c r="S161" s="2">
        <v>1470.65</v>
      </c>
    </row>
    <row r="162" spans="1:19" x14ac:dyDescent="0.3">
      <c r="A162" s="1" t="s">
        <v>19</v>
      </c>
      <c r="B162" s="1" t="s">
        <v>181</v>
      </c>
      <c r="C162" s="1" t="s">
        <v>182</v>
      </c>
      <c r="D162" s="1" t="s">
        <v>266</v>
      </c>
      <c r="E162" s="1" t="s">
        <v>267</v>
      </c>
      <c r="F162" s="1" t="s">
        <v>61</v>
      </c>
      <c r="G162" s="1" t="s">
        <v>23</v>
      </c>
      <c r="H162">
        <v>3090201</v>
      </c>
      <c r="I162" s="1" t="s">
        <v>268</v>
      </c>
      <c r="J162">
        <v>110</v>
      </c>
      <c r="K162">
        <v>234</v>
      </c>
      <c r="L162" s="1" t="s">
        <v>127</v>
      </c>
      <c r="M162" s="1" t="s">
        <v>191</v>
      </c>
      <c r="N162">
        <v>26.8660186</v>
      </c>
      <c r="O162">
        <v>-80.949714200000003</v>
      </c>
      <c r="P162" s="1" t="s">
        <v>25</v>
      </c>
      <c r="Q162" s="1" t="s">
        <v>26</v>
      </c>
      <c r="R162" s="1" t="s">
        <v>192</v>
      </c>
      <c r="S162" s="2">
        <v>1470.65</v>
      </c>
    </row>
    <row r="163" spans="1:19" x14ac:dyDescent="0.3">
      <c r="A163" s="1" t="s">
        <v>19</v>
      </c>
      <c r="B163" s="1" t="s">
        <v>181</v>
      </c>
      <c r="C163" s="1" t="s">
        <v>182</v>
      </c>
      <c r="D163" s="1" t="s">
        <v>243</v>
      </c>
      <c r="E163" s="1" t="s">
        <v>239</v>
      </c>
      <c r="F163" s="1" t="s">
        <v>61</v>
      </c>
      <c r="G163" s="1" t="s">
        <v>23</v>
      </c>
      <c r="H163">
        <v>3090201</v>
      </c>
      <c r="I163" s="1" t="s">
        <v>244</v>
      </c>
      <c r="J163">
        <v>110</v>
      </c>
      <c r="K163">
        <v>230</v>
      </c>
      <c r="L163" s="1" t="s">
        <v>127</v>
      </c>
      <c r="M163" s="1" t="s">
        <v>231</v>
      </c>
      <c r="N163">
        <v>26.7969714</v>
      </c>
      <c r="O163">
        <v>-80.860094700000005</v>
      </c>
      <c r="P163" s="1" t="s">
        <v>25</v>
      </c>
      <c r="Q163" s="1" t="s">
        <v>26</v>
      </c>
      <c r="R163" s="1" t="s">
        <v>192</v>
      </c>
      <c r="S163" s="2">
        <v>1470.65</v>
      </c>
    </row>
    <row r="164" spans="1:19" x14ac:dyDescent="0.3">
      <c r="A164" s="1" t="s">
        <v>19</v>
      </c>
      <c r="B164" s="1" t="s">
        <v>476</v>
      </c>
      <c r="C164" s="1" t="s">
        <v>477</v>
      </c>
      <c r="D164" s="1" t="s">
        <v>933</v>
      </c>
      <c r="E164" s="1" t="s">
        <v>934</v>
      </c>
      <c r="F164" s="1" t="s">
        <v>480</v>
      </c>
      <c r="G164" s="1" t="s">
        <v>23</v>
      </c>
      <c r="H164">
        <v>4120200</v>
      </c>
      <c r="I164" s="1" t="s">
        <v>935</v>
      </c>
      <c r="J164">
        <v>110</v>
      </c>
      <c r="K164">
        <v>110</v>
      </c>
      <c r="L164" s="1" t="s">
        <v>913</v>
      </c>
      <c r="M164" s="1" t="s">
        <v>932</v>
      </c>
      <c r="N164">
        <v>41.891554399999997</v>
      </c>
      <c r="O164">
        <v>-83.196238800000003</v>
      </c>
      <c r="P164" s="1" t="s">
        <v>396</v>
      </c>
      <c r="Q164" s="1" t="s">
        <v>26</v>
      </c>
      <c r="R164" s="1" t="s">
        <v>915</v>
      </c>
      <c r="S164" s="2">
        <v>25718.799999999999</v>
      </c>
    </row>
    <row r="165" spans="1:19" x14ac:dyDescent="0.3">
      <c r="A165" s="1" t="s">
        <v>19</v>
      </c>
      <c r="B165" s="1" t="s">
        <v>181</v>
      </c>
      <c r="C165" s="1" t="s">
        <v>182</v>
      </c>
      <c r="D165" s="1" t="s">
        <v>235</v>
      </c>
      <c r="E165" s="1" t="s">
        <v>236</v>
      </c>
      <c r="F165" s="1" t="s">
        <v>61</v>
      </c>
      <c r="G165" s="1" t="s">
        <v>23</v>
      </c>
      <c r="H165">
        <v>3090201</v>
      </c>
      <c r="I165" s="1" t="s">
        <v>237</v>
      </c>
      <c r="J165">
        <v>109</v>
      </c>
      <c r="K165">
        <v>230</v>
      </c>
      <c r="L165" s="1" t="s">
        <v>127</v>
      </c>
      <c r="M165" s="1" t="s">
        <v>191</v>
      </c>
      <c r="N165">
        <v>26.957112200000001</v>
      </c>
      <c r="O165">
        <v>-80.891692199999994</v>
      </c>
      <c r="P165" s="1" t="s">
        <v>25</v>
      </c>
      <c r="Q165" s="1" t="s">
        <v>26</v>
      </c>
      <c r="R165" s="1" t="s">
        <v>192</v>
      </c>
      <c r="S165" s="2">
        <v>1470.65</v>
      </c>
    </row>
    <row r="166" spans="1:19" x14ac:dyDescent="0.3">
      <c r="A166" s="1" t="s">
        <v>19</v>
      </c>
      <c r="B166" s="1" t="s">
        <v>1233</v>
      </c>
      <c r="C166" s="1" t="s">
        <v>1234</v>
      </c>
      <c r="D166" s="1" t="s">
        <v>1367</v>
      </c>
      <c r="E166" s="1" t="s">
        <v>1368</v>
      </c>
      <c r="F166" s="1" t="s">
        <v>22</v>
      </c>
      <c r="G166" s="1" t="s">
        <v>23</v>
      </c>
      <c r="H166">
        <v>12030107</v>
      </c>
      <c r="I166" s="1" t="s">
        <v>1369</v>
      </c>
      <c r="J166">
        <v>109</v>
      </c>
      <c r="K166">
        <v>109</v>
      </c>
      <c r="L166" s="1" t="s">
        <v>1232</v>
      </c>
      <c r="M166" s="1" t="s">
        <v>1347</v>
      </c>
      <c r="N166">
        <v>32.201700000000002</v>
      </c>
      <c r="O166">
        <v>-96.068899999999999</v>
      </c>
      <c r="P166" s="1" t="s">
        <v>25</v>
      </c>
      <c r="Q166" s="1" t="s">
        <v>1594</v>
      </c>
      <c r="R166" s="1" t="s">
        <v>1366</v>
      </c>
      <c r="S166" s="2">
        <v>127.657</v>
      </c>
    </row>
    <row r="167" spans="1:19" x14ac:dyDescent="0.3">
      <c r="A167" s="1" t="s">
        <v>19</v>
      </c>
      <c r="B167" s="1" t="s">
        <v>181</v>
      </c>
      <c r="C167" s="1" t="s">
        <v>182</v>
      </c>
      <c r="D167" s="1" t="s">
        <v>280</v>
      </c>
      <c r="E167" s="1" t="s">
        <v>281</v>
      </c>
      <c r="F167" s="1" t="s">
        <v>61</v>
      </c>
      <c r="G167" s="1" t="s">
        <v>23</v>
      </c>
      <c r="H167">
        <v>3090201</v>
      </c>
      <c r="I167" s="1" t="s">
        <v>282</v>
      </c>
      <c r="J167">
        <v>107</v>
      </c>
      <c r="K167">
        <v>232</v>
      </c>
      <c r="L167" s="1" t="s">
        <v>127</v>
      </c>
      <c r="M167" s="1" t="s">
        <v>191</v>
      </c>
      <c r="N167">
        <v>27.018656400000001</v>
      </c>
      <c r="O167">
        <v>-80.939673099999993</v>
      </c>
      <c r="P167" s="1" t="s">
        <v>25</v>
      </c>
      <c r="Q167" s="1" t="s">
        <v>26</v>
      </c>
      <c r="R167" s="1" t="s">
        <v>192</v>
      </c>
      <c r="S167" s="2">
        <v>1470.65</v>
      </c>
    </row>
    <row r="168" spans="1:19" x14ac:dyDescent="0.3">
      <c r="A168" s="1" t="s">
        <v>19</v>
      </c>
      <c r="B168" s="1" t="s">
        <v>181</v>
      </c>
      <c r="C168" s="1" t="s">
        <v>182</v>
      </c>
      <c r="D168" s="1" t="s">
        <v>248</v>
      </c>
      <c r="E168" s="1" t="s">
        <v>249</v>
      </c>
      <c r="F168" s="1" t="s">
        <v>61</v>
      </c>
      <c r="G168" s="1" t="s">
        <v>23</v>
      </c>
      <c r="H168">
        <v>3090201</v>
      </c>
      <c r="I168" s="1" t="s">
        <v>250</v>
      </c>
      <c r="J168">
        <v>107</v>
      </c>
      <c r="K168">
        <v>218</v>
      </c>
      <c r="L168" s="1" t="s">
        <v>127</v>
      </c>
      <c r="M168" s="1" t="s">
        <v>191</v>
      </c>
      <c r="N168">
        <v>26.883362200000001</v>
      </c>
      <c r="O168">
        <v>-80.916925800000001</v>
      </c>
      <c r="P168" s="1" t="s">
        <v>25</v>
      </c>
      <c r="Q168" s="1" t="s">
        <v>26</v>
      </c>
      <c r="R168" s="1" t="s">
        <v>192</v>
      </c>
      <c r="S168" s="2">
        <v>1470.65</v>
      </c>
    </row>
    <row r="169" spans="1:19" x14ac:dyDescent="0.3">
      <c r="A169" s="1" t="s">
        <v>19</v>
      </c>
      <c r="B169" s="1" t="s">
        <v>181</v>
      </c>
      <c r="C169" s="1" t="s">
        <v>182</v>
      </c>
      <c r="D169" s="1" t="s">
        <v>251</v>
      </c>
      <c r="E169" s="1" t="s">
        <v>252</v>
      </c>
      <c r="F169" s="1" t="s">
        <v>61</v>
      </c>
      <c r="G169" s="1" t="s">
        <v>23</v>
      </c>
      <c r="H169">
        <v>3090201</v>
      </c>
      <c r="I169" s="1" t="s">
        <v>253</v>
      </c>
      <c r="J169">
        <v>105</v>
      </c>
      <c r="K169">
        <v>218</v>
      </c>
      <c r="L169" s="1" t="s">
        <v>127</v>
      </c>
      <c r="M169" s="1" t="s">
        <v>191</v>
      </c>
      <c r="N169">
        <v>27.042591900000001</v>
      </c>
      <c r="O169">
        <v>-80.890733299999994</v>
      </c>
      <c r="P169" s="1" t="s">
        <v>25</v>
      </c>
      <c r="Q169" s="1" t="s">
        <v>26</v>
      </c>
      <c r="R169" s="1" t="s">
        <v>192</v>
      </c>
      <c r="S169" s="2">
        <v>1470.65</v>
      </c>
    </row>
    <row r="170" spans="1:19" x14ac:dyDescent="0.3">
      <c r="A170" s="1" t="s">
        <v>19</v>
      </c>
      <c r="B170" s="1" t="s">
        <v>181</v>
      </c>
      <c r="C170" s="1" t="s">
        <v>182</v>
      </c>
      <c r="D170" s="1" t="s">
        <v>286</v>
      </c>
      <c r="E170" s="1" t="s">
        <v>287</v>
      </c>
      <c r="F170" s="1" t="s">
        <v>61</v>
      </c>
      <c r="G170" s="1" t="s">
        <v>23</v>
      </c>
      <c r="H170">
        <v>3090201</v>
      </c>
      <c r="I170" s="1" t="s">
        <v>288</v>
      </c>
      <c r="J170">
        <v>104</v>
      </c>
      <c r="K170">
        <v>224</v>
      </c>
      <c r="L170" s="1" t="s">
        <v>127</v>
      </c>
      <c r="M170" s="1" t="s">
        <v>191</v>
      </c>
      <c r="N170">
        <v>26.902738599999999</v>
      </c>
      <c r="O170">
        <v>-80.963307499999999</v>
      </c>
      <c r="P170" s="1" t="s">
        <v>25</v>
      </c>
      <c r="Q170" s="1" t="s">
        <v>26</v>
      </c>
      <c r="R170" s="1" t="s">
        <v>192</v>
      </c>
      <c r="S170" s="2">
        <v>1470.65</v>
      </c>
    </row>
    <row r="171" spans="1:19" x14ac:dyDescent="0.3">
      <c r="A171" s="1" t="s">
        <v>19</v>
      </c>
      <c r="B171" s="1" t="s">
        <v>181</v>
      </c>
      <c r="C171" s="1" t="s">
        <v>182</v>
      </c>
      <c r="D171" s="1" t="s">
        <v>215</v>
      </c>
      <c r="E171" s="1" t="s">
        <v>216</v>
      </c>
      <c r="F171" s="1" t="s">
        <v>61</v>
      </c>
      <c r="G171" s="1" t="s">
        <v>23</v>
      </c>
      <c r="H171">
        <v>3090201</v>
      </c>
      <c r="I171" s="1" t="s">
        <v>217</v>
      </c>
      <c r="J171">
        <v>104</v>
      </c>
      <c r="K171">
        <v>214</v>
      </c>
      <c r="L171" s="1" t="s">
        <v>127</v>
      </c>
      <c r="M171" s="1" t="s">
        <v>208</v>
      </c>
      <c r="N171">
        <v>27.082793599999999</v>
      </c>
      <c r="O171">
        <v>-80.794247200000001</v>
      </c>
      <c r="P171" s="1" t="s">
        <v>25</v>
      </c>
      <c r="Q171" s="1" t="s">
        <v>26</v>
      </c>
      <c r="R171" s="1" t="s">
        <v>192</v>
      </c>
      <c r="S171" s="2">
        <v>1470.65</v>
      </c>
    </row>
    <row r="172" spans="1:19" x14ac:dyDescent="0.3">
      <c r="A172" s="1" t="s">
        <v>19</v>
      </c>
      <c r="B172" s="1" t="s">
        <v>181</v>
      </c>
      <c r="C172" s="1" t="s">
        <v>182</v>
      </c>
      <c r="D172" s="1" t="s">
        <v>274</v>
      </c>
      <c r="E172" s="1" t="s">
        <v>275</v>
      </c>
      <c r="F172" s="1" t="s">
        <v>61</v>
      </c>
      <c r="G172" s="1" t="s">
        <v>23</v>
      </c>
      <c r="H172">
        <v>3090201</v>
      </c>
      <c r="I172" s="1" t="s">
        <v>276</v>
      </c>
      <c r="J172">
        <v>102</v>
      </c>
      <c r="K172">
        <v>210</v>
      </c>
      <c r="L172" s="1" t="s">
        <v>127</v>
      </c>
      <c r="M172" s="1" t="s">
        <v>231</v>
      </c>
      <c r="N172">
        <v>26.716196100000001</v>
      </c>
      <c r="O172">
        <v>-80.787349199999994</v>
      </c>
      <c r="P172" s="1" t="s">
        <v>25</v>
      </c>
      <c r="Q172" s="1" t="s">
        <v>26</v>
      </c>
      <c r="R172" s="1" t="s">
        <v>192</v>
      </c>
      <c r="S172" s="2">
        <v>1470.65</v>
      </c>
    </row>
  </sheetData>
  <sortState xmlns:xlrd2="http://schemas.microsoft.com/office/spreadsheetml/2017/richdata2" ref="A2:S1326">
    <sortCondition descending="1" ref="J37:J1326"/>
  </sortState>
  <conditionalFormatting sqref="J1:K1048576">
    <cfRule type="cellIs" dxfId="0" priority="2" operator="lessThan">
      <formula>100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C4577-B21F-4A40-8391-B1AB3F866FDF}">
  <dimension ref="A1:I173"/>
  <sheetViews>
    <sheetView tabSelected="1" workbookViewId="0">
      <selection activeCell="D5" sqref="D5"/>
    </sheetView>
  </sheetViews>
  <sheetFormatPr defaultColWidth="11.33203125" defaultRowHeight="14.4" x14ac:dyDescent="0.3"/>
  <cols>
    <col min="1" max="1" width="24.77734375" style="1" bestFit="1" customWidth="1"/>
    <col min="2" max="2" width="23.77734375" style="1" bestFit="1" customWidth="1"/>
    <col min="3" max="4" width="11.33203125" style="1"/>
    <col min="5" max="5" width="11.33203125" style="2"/>
    <col min="6" max="6" width="15.6640625" bestFit="1" customWidth="1"/>
    <col min="8" max="8" width="23" bestFit="1" customWidth="1"/>
  </cols>
  <sheetData>
    <row r="1" spans="1:9" x14ac:dyDescent="0.3">
      <c r="A1" s="1" t="s">
        <v>16</v>
      </c>
      <c r="B1" s="1" t="s">
        <v>17</v>
      </c>
      <c r="C1" s="1" t="s">
        <v>11</v>
      </c>
      <c r="D1" s="1" t="s">
        <v>15</v>
      </c>
      <c r="E1" s="2" t="s">
        <v>18</v>
      </c>
      <c r="F1" s="1" t="s">
        <v>1597</v>
      </c>
    </row>
    <row r="2" spans="1:9" x14ac:dyDescent="0.3">
      <c r="A2" s="1" t="s">
        <v>26</v>
      </c>
      <c r="B2" s="1" t="s">
        <v>545</v>
      </c>
      <c r="C2" s="1" t="s">
        <v>402</v>
      </c>
      <c r="D2" s="1" t="s">
        <v>396</v>
      </c>
      <c r="E2" s="2">
        <v>81837.100000000006</v>
      </c>
      <c r="F2" s="1">
        <f>COUNTIF('Subset_step2_activity&gt;100'!$R$2:$R$448,B2)</f>
        <v>13</v>
      </c>
      <c r="H2" s="3" t="s">
        <v>1595</v>
      </c>
      <c r="I2" s="3">
        <v>20</v>
      </c>
    </row>
    <row r="3" spans="1:9" x14ac:dyDescent="0.3">
      <c r="A3" s="1" t="s">
        <v>26</v>
      </c>
      <c r="B3" s="1" t="s">
        <v>518</v>
      </c>
      <c r="C3" s="1" t="s">
        <v>1479</v>
      </c>
      <c r="D3" s="1" t="s">
        <v>25</v>
      </c>
      <c r="E3" s="2">
        <v>52823.5</v>
      </c>
      <c r="F3" s="1">
        <f>COUNTIF('Subset_step2_activity&gt;100'!$R$2:$R$448,B3)</f>
        <v>42</v>
      </c>
      <c r="H3" s="3" t="s">
        <v>1598</v>
      </c>
      <c r="I3" s="4">
        <f>20-COUNTIF(D2:D21,"USA")</f>
        <v>5</v>
      </c>
    </row>
    <row r="4" spans="1:9" x14ac:dyDescent="0.3">
      <c r="A4" s="1" t="s">
        <v>26</v>
      </c>
      <c r="B4" s="1" t="s">
        <v>483</v>
      </c>
      <c r="C4" s="1" t="s">
        <v>402</v>
      </c>
      <c r="D4" s="1" t="s">
        <v>396</v>
      </c>
      <c r="E4" s="2">
        <v>42496.7</v>
      </c>
      <c r="F4" s="1">
        <f>COUNTIF('Subset_step2_activity&gt;100'!$R$2:$R$448,B4)</f>
        <v>9</v>
      </c>
      <c r="H4" s="3" t="s">
        <v>1596</v>
      </c>
      <c r="I4" s="3">
        <v>12</v>
      </c>
    </row>
    <row r="5" spans="1:9" x14ac:dyDescent="0.3">
      <c r="A5" s="1" t="s">
        <v>26</v>
      </c>
      <c r="B5" s="1" t="s">
        <v>915</v>
      </c>
      <c r="C5" s="1" t="s">
        <v>913</v>
      </c>
      <c r="D5" s="1" t="s">
        <v>396</v>
      </c>
      <c r="E5" s="2">
        <v>25718.799999999999</v>
      </c>
      <c r="F5" s="1">
        <f>COUNTIF('Subset_step2_activity&gt;100'!$R$2:$R$448,B5)</f>
        <v>9</v>
      </c>
    </row>
    <row r="6" spans="1:9" x14ac:dyDescent="0.3">
      <c r="A6" s="1" t="s">
        <v>26</v>
      </c>
      <c r="B6" s="1" t="s">
        <v>809</v>
      </c>
      <c r="C6" s="1" t="s">
        <v>776</v>
      </c>
      <c r="D6" s="1" t="s">
        <v>396</v>
      </c>
      <c r="E6" s="2">
        <v>18934.7</v>
      </c>
      <c r="F6" s="1">
        <f>COUNTIF('Subset_step2_activity&gt;100'!$R$2:$R$448,B6)</f>
        <v>3</v>
      </c>
    </row>
    <row r="7" spans="1:9" x14ac:dyDescent="0.3">
      <c r="A7" s="1" t="s">
        <v>26</v>
      </c>
      <c r="B7" s="1" t="s">
        <v>404</v>
      </c>
      <c r="C7" s="1" t="s">
        <v>402</v>
      </c>
      <c r="D7" s="1" t="s">
        <v>25</v>
      </c>
      <c r="E7" s="2">
        <v>2976.93</v>
      </c>
      <c r="F7" s="1">
        <f>COUNTIF('Subset_step2_activity&gt;100'!$R$2:$R$448,B7)</f>
        <v>7</v>
      </c>
    </row>
    <row r="8" spans="1:9" x14ac:dyDescent="0.3">
      <c r="A8" s="1" t="s">
        <v>26</v>
      </c>
      <c r="B8" s="1" t="s">
        <v>192</v>
      </c>
      <c r="C8" s="1" t="s">
        <v>127</v>
      </c>
      <c r="D8" s="1" t="s">
        <v>25</v>
      </c>
      <c r="E8" s="2">
        <v>1470.65</v>
      </c>
      <c r="F8" s="1">
        <f>COUNTIF('Subset_step2_activity&gt;100'!$R$2:$R$448,B8)</f>
        <v>16</v>
      </c>
    </row>
    <row r="9" spans="1:9" x14ac:dyDescent="0.3">
      <c r="A9" s="1" t="s">
        <v>26</v>
      </c>
      <c r="B9" s="1" t="s">
        <v>783</v>
      </c>
      <c r="C9" s="1" t="s">
        <v>776</v>
      </c>
      <c r="D9" s="1" t="s">
        <v>396</v>
      </c>
      <c r="E9" s="2">
        <v>1117.76</v>
      </c>
      <c r="F9" s="1">
        <f>COUNTIF('Subset_step2_activity&gt;100'!$R$2:$R$448,B9)</f>
        <v>31</v>
      </c>
    </row>
    <row r="10" spans="1:9" x14ac:dyDescent="0.3">
      <c r="A10" s="1" t="s">
        <v>1594</v>
      </c>
      <c r="B10" s="1" t="s">
        <v>1256</v>
      </c>
      <c r="C10" s="1" t="s">
        <v>1232</v>
      </c>
      <c r="D10" s="1" t="s">
        <v>25</v>
      </c>
      <c r="E10" s="2">
        <v>636.72</v>
      </c>
      <c r="F10" s="1">
        <f>COUNTIF('Subset_step2_activity&gt;100'!$R$2:$R$448,B10)</f>
        <v>1</v>
      </c>
    </row>
    <row r="11" spans="1:9" x14ac:dyDescent="0.3">
      <c r="A11" s="1" t="s">
        <v>26</v>
      </c>
      <c r="B11" s="1" t="s">
        <v>949</v>
      </c>
      <c r="C11" s="1" t="s">
        <v>947</v>
      </c>
      <c r="D11" s="1" t="s">
        <v>25</v>
      </c>
      <c r="E11" s="2">
        <v>228.505</v>
      </c>
      <c r="F11" s="1">
        <f>COUNTIF('Subset_step2_activity&gt;100'!$R$2:$R$448,B11)</f>
        <v>20</v>
      </c>
    </row>
    <row r="12" spans="1:9" x14ac:dyDescent="0.3">
      <c r="A12" s="1" t="s">
        <v>26</v>
      </c>
      <c r="B12" s="1" t="s">
        <v>173</v>
      </c>
      <c r="C12" s="1" t="s">
        <v>127</v>
      </c>
      <c r="D12" s="1" t="s">
        <v>25</v>
      </c>
      <c r="E12" s="2">
        <v>214.29</v>
      </c>
      <c r="F12" s="1">
        <f>COUNTIF('Subset_step2_activity&gt;100'!$R$2:$R$448,B12)</f>
        <v>1</v>
      </c>
    </row>
    <row r="13" spans="1:9" x14ac:dyDescent="0.3">
      <c r="A13" s="1" t="s">
        <v>1594</v>
      </c>
      <c r="B13" s="1" t="s">
        <v>1296</v>
      </c>
      <c r="C13" s="1" t="s">
        <v>1232</v>
      </c>
      <c r="D13" s="1" t="s">
        <v>25</v>
      </c>
      <c r="E13" s="2">
        <v>169.14400000000001</v>
      </c>
      <c r="F13" s="1">
        <f>COUNTIF('Subset_step2_activity&gt;100'!$R$2:$R$448,B13)</f>
        <v>3</v>
      </c>
    </row>
    <row r="14" spans="1:9" x14ac:dyDescent="0.3">
      <c r="A14" s="1" t="s">
        <v>26</v>
      </c>
      <c r="B14" s="1" t="s">
        <v>89</v>
      </c>
      <c r="C14" s="1" t="s">
        <v>87</v>
      </c>
      <c r="D14" s="1" t="s">
        <v>25</v>
      </c>
      <c r="E14" s="2">
        <v>159.102</v>
      </c>
      <c r="F14" s="1">
        <f>COUNTIF('Subset_step2_activity&gt;100'!$R$2:$R$448,B14)</f>
        <v>1</v>
      </c>
    </row>
    <row r="15" spans="1:9" x14ac:dyDescent="0.3">
      <c r="A15" s="1" t="s">
        <v>26</v>
      </c>
      <c r="B15" s="1" t="s">
        <v>1261</v>
      </c>
      <c r="C15" s="1" t="s">
        <v>1232</v>
      </c>
      <c r="D15" s="1" t="s">
        <v>25</v>
      </c>
      <c r="E15" s="2">
        <v>146.791</v>
      </c>
      <c r="F15" s="1">
        <f>COUNTIF('Subset_step2_activity&gt;100'!$R$2:$R$448,B15)</f>
        <v>1</v>
      </c>
    </row>
    <row r="16" spans="1:9" x14ac:dyDescent="0.3">
      <c r="A16" s="1" t="s">
        <v>26</v>
      </c>
      <c r="B16" s="1" t="s">
        <v>739</v>
      </c>
      <c r="C16" s="1" t="s">
        <v>723</v>
      </c>
      <c r="D16" s="1" t="s">
        <v>25</v>
      </c>
      <c r="E16" s="2">
        <v>142.54</v>
      </c>
      <c r="F16" s="1">
        <f>COUNTIF('Subset_step2_activity&gt;100'!$R$2:$R$448,B16)</f>
        <v>4</v>
      </c>
    </row>
    <row r="17" spans="1:6" x14ac:dyDescent="0.3">
      <c r="A17" s="1" t="s">
        <v>26</v>
      </c>
      <c r="B17" s="1" t="s">
        <v>373</v>
      </c>
      <c r="C17" s="1" t="s">
        <v>368</v>
      </c>
      <c r="D17" s="1" t="s">
        <v>25</v>
      </c>
      <c r="E17" s="2">
        <v>132.78299999999999</v>
      </c>
      <c r="F17" s="1">
        <f>COUNTIF('Subset_step2_activity&gt;100'!$R$2:$R$448,B17)</f>
        <v>2</v>
      </c>
    </row>
    <row r="18" spans="1:6" x14ac:dyDescent="0.3">
      <c r="A18" s="1" t="s">
        <v>1594</v>
      </c>
      <c r="B18" s="1" t="s">
        <v>1366</v>
      </c>
      <c r="C18" s="1" t="s">
        <v>1232</v>
      </c>
      <c r="D18" s="1" t="s">
        <v>25</v>
      </c>
      <c r="E18" s="2">
        <v>127.657</v>
      </c>
      <c r="F18" s="1">
        <f>COUNTIF('Subset_step2_activity&gt;100'!$R$2:$R$448,B18)</f>
        <v>2</v>
      </c>
    </row>
    <row r="19" spans="1:6" x14ac:dyDescent="0.3">
      <c r="A19" s="1" t="s">
        <v>26</v>
      </c>
      <c r="B19" s="1" t="s">
        <v>294</v>
      </c>
      <c r="C19" s="1" t="s">
        <v>127</v>
      </c>
      <c r="D19" s="1" t="s">
        <v>25</v>
      </c>
      <c r="E19" s="2">
        <v>124.66200000000001</v>
      </c>
      <c r="F19" s="1">
        <f>COUNTIF('Subset_step2_activity&gt;100'!$R$2:$R$448,B19)</f>
        <v>3</v>
      </c>
    </row>
    <row r="20" spans="1:6" x14ac:dyDescent="0.3">
      <c r="A20" s="1" t="s">
        <v>26</v>
      </c>
      <c r="B20" s="1" t="s">
        <v>712</v>
      </c>
      <c r="C20" s="1" t="s">
        <v>705</v>
      </c>
      <c r="D20" s="1" t="s">
        <v>25</v>
      </c>
      <c r="E20" s="2">
        <v>113.08</v>
      </c>
      <c r="F20" s="1">
        <f>COUNTIF('Subset_step2_activity&gt;100'!$R$2:$R$448,B20)</f>
        <v>1</v>
      </c>
    </row>
    <row r="21" spans="1:6" x14ac:dyDescent="0.3">
      <c r="A21" s="1" t="s">
        <v>1594</v>
      </c>
      <c r="B21" s="1" t="s">
        <v>350</v>
      </c>
      <c r="C21" s="1" t="s">
        <v>332</v>
      </c>
      <c r="D21" s="1" t="s">
        <v>25</v>
      </c>
      <c r="E21" s="2">
        <v>105.286</v>
      </c>
      <c r="F21" s="1">
        <f>COUNTIF('Subset_step2_activity&gt;100'!$R$2:$R$448,B21)</f>
        <v>2</v>
      </c>
    </row>
    <row r="22" spans="1:6" x14ac:dyDescent="0.3">
      <c r="A22"/>
      <c r="B22"/>
      <c r="C22"/>
      <c r="D22"/>
      <c r="E22"/>
    </row>
    <row r="23" spans="1:6" x14ac:dyDescent="0.3">
      <c r="A23"/>
      <c r="B23"/>
      <c r="C23"/>
      <c r="D23"/>
      <c r="E23"/>
    </row>
    <row r="24" spans="1:6" x14ac:dyDescent="0.3">
      <c r="A24"/>
      <c r="B24"/>
      <c r="C24"/>
      <c r="D24"/>
      <c r="E24"/>
    </row>
    <row r="25" spans="1:6" x14ac:dyDescent="0.3">
      <c r="A25"/>
      <c r="B25"/>
      <c r="C25"/>
      <c r="D25"/>
      <c r="E25"/>
    </row>
    <row r="26" spans="1:6" x14ac:dyDescent="0.3">
      <c r="A26"/>
      <c r="B26"/>
      <c r="C26"/>
      <c r="D26"/>
      <c r="E26"/>
    </row>
    <row r="27" spans="1:6" x14ac:dyDescent="0.3">
      <c r="A27"/>
      <c r="B27"/>
      <c r="C27"/>
      <c r="D27"/>
      <c r="E27"/>
    </row>
    <row r="28" spans="1:6" x14ac:dyDescent="0.3">
      <c r="A28"/>
      <c r="B28"/>
      <c r="C28"/>
      <c r="D28"/>
      <c r="E28"/>
    </row>
    <row r="29" spans="1:6" x14ac:dyDescent="0.3">
      <c r="A29"/>
      <c r="B29"/>
      <c r="C29"/>
      <c r="D29"/>
      <c r="E29"/>
    </row>
    <row r="30" spans="1:6" x14ac:dyDescent="0.3">
      <c r="A30"/>
      <c r="B30"/>
      <c r="C30"/>
      <c r="D30"/>
      <c r="E30"/>
    </row>
    <row r="31" spans="1:6" x14ac:dyDescent="0.3">
      <c r="A31"/>
      <c r="B31"/>
      <c r="C31"/>
      <c r="D31"/>
      <c r="E31"/>
    </row>
    <row r="32" spans="1:6" x14ac:dyDescent="0.3">
      <c r="A32"/>
      <c r="B32"/>
      <c r="C32"/>
      <c r="D32"/>
      <c r="E32"/>
    </row>
    <row r="33" customFormat="1" x14ac:dyDescent="0.3"/>
    <row r="34" customFormat="1" x14ac:dyDescent="0.3"/>
    <row r="35" customFormat="1" x14ac:dyDescent="0.3"/>
    <row r="36" customFormat="1" x14ac:dyDescent="0.3"/>
    <row r="37" customFormat="1" x14ac:dyDescent="0.3"/>
    <row r="38" customFormat="1" x14ac:dyDescent="0.3"/>
    <row r="39" customFormat="1" x14ac:dyDescent="0.3"/>
    <row r="40" customFormat="1" x14ac:dyDescent="0.3"/>
    <row r="41" customFormat="1" x14ac:dyDescent="0.3"/>
    <row r="42" customFormat="1" x14ac:dyDescent="0.3"/>
    <row r="43" customFormat="1" x14ac:dyDescent="0.3"/>
    <row r="44" customFormat="1" x14ac:dyDescent="0.3"/>
    <row r="45" customFormat="1" x14ac:dyDescent="0.3"/>
    <row r="46" customFormat="1" x14ac:dyDescent="0.3"/>
    <row r="47" customFormat="1" x14ac:dyDescent="0.3"/>
    <row r="48" customFormat="1" x14ac:dyDescent="0.3"/>
    <row r="49" customFormat="1" x14ac:dyDescent="0.3"/>
    <row r="50" customFormat="1" x14ac:dyDescent="0.3"/>
    <row r="51" customFormat="1" x14ac:dyDescent="0.3"/>
    <row r="52" customFormat="1" x14ac:dyDescent="0.3"/>
    <row r="53" customFormat="1" x14ac:dyDescent="0.3"/>
    <row r="54" customFormat="1" x14ac:dyDescent="0.3"/>
    <row r="55" customFormat="1" x14ac:dyDescent="0.3"/>
    <row r="56" customFormat="1" x14ac:dyDescent="0.3"/>
    <row r="57" customFormat="1" x14ac:dyDescent="0.3"/>
    <row r="58" customFormat="1" x14ac:dyDescent="0.3"/>
    <row r="59" customFormat="1" x14ac:dyDescent="0.3"/>
    <row r="60" customFormat="1" x14ac:dyDescent="0.3"/>
    <row r="61" customFormat="1" x14ac:dyDescent="0.3"/>
    <row r="62" customFormat="1" x14ac:dyDescent="0.3"/>
    <row r="63" customFormat="1" x14ac:dyDescent="0.3"/>
    <row r="64" customFormat="1" x14ac:dyDescent="0.3"/>
    <row r="65" customFormat="1" x14ac:dyDescent="0.3"/>
    <row r="66" customFormat="1" x14ac:dyDescent="0.3"/>
    <row r="67" customFormat="1" x14ac:dyDescent="0.3"/>
    <row r="68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</sheetData>
  <sortState xmlns:xlrd2="http://schemas.microsoft.com/office/spreadsheetml/2017/richdata2" ref="A2:F172">
    <sortCondition descending="1" ref="E1:E17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Subset_step1_Area&gt;100</vt:lpstr>
      <vt:lpstr>Stats for Subset1</vt:lpstr>
      <vt:lpstr>Subset_step2_activity&gt;100</vt:lpstr>
      <vt:lpstr>Stats for Subset2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Scott Turnbull</cp:lastModifiedBy>
  <dcterms:created xsi:type="dcterms:W3CDTF">2026-05-29T19:22:10Z</dcterms:created>
  <dcterms:modified xsi:type="dcterms:W3CDTF">2026-07-24T15:16:50Z</dcterms:modified>
</cp:coreProperties>
</file>